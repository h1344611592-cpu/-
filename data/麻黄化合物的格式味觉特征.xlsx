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Files\spyder_workstation\项目们\smiles\data\"/>
    </mc:Choice>
  </mc:AlternateContent>
  <xr:revisionPtr revIDLastSave="0" documentId="13_ncr:1_{196D6024-0738-4AB1-BC1F-BF12171B0848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8" i="1" l="1"/>
  <c r="I156" i="1"/>
  <c r="I155" i="1"/>
  <c r="I154" i="1"/>
  <c r="I153" i="1"/>
  <c r="I152" i="1"/>
  <c r="I151" i="1"/>
  <c r="I149" i="1"/>
  <c r="I148" i="1"/>
  <c r="I147" i="1"/>
  <c r="I144" i="1"/>
  <c r="I143" i="1"/>
  <c r="I142" i="1"/>
  <c r="I141" i="1"/>
  <c r="I140" i="1"/>
  <c r="I139" i="1"/>
  <c r="I138" i="1"/>
  <c r="I137" i="1"/>
  <c r="I135" i="1"/>
  <c r="I134" i="1"/>
  <c r="I131" i="1"/>
  <c r="I129" i="1"/>
  <c r="I128" i="1"/>
  <c r="I127" i="1"/>
  <c r="I126" i="1"/>
  <c r="I124" i="1"/>
  <c r="I122" i="1"/>
  <c r="I120" i="1"/>
  <c r="I117" i="1"/>
  <c r="I113" i="1"/>
  <c r="I112" i="1"/>
  <c r="I111" i="1"/>
  <c r="I109" i="1"/>
  <c r="I108" i="1"/>
  <c r="I107" i="1"/>
  <c r="I106" i="1"/>
  <c r="I105" i="1"/>
  <c r="I104" i="1"/>
  <c r="I103" i="1"/>
  <c r="I99" i="1"/>
  <c r="I97" i="1"/>
  <c r="I96" i="1"/>
  <c r="I95" i="1"/>
  <c r="I94" i="1"/>
  <c r="I93" i="1"/>
  <c r="I89" i="1"/>
  <c r="I87" i="1"/>
  <c r="I84" i="1"/>
  <c r="I82" i="1"/>
  <c r="I81" i="1"/>
  <c r="I80" i="1"/>
  <c r="I78" i="1"/>
  <c r="I75" i="1"/>
  <c r="I74" i="1"/>
  <c r="I72" i="1"/>
  <c r="I71" i="1"/>
  <c r="I70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0" i="1"/>
  <c r="I49" i="1"/>
  <c r="I48" i="1"/>
  <c r="I47" i="1"/>
  <c r="I45" i="1"/>
  <c r="I44" i="1"/>
  <c r="I41" i="1"/>
  <c r="I39" i="1"/>
  <c r="I38" i="1"/>
  <c r="I37" i="1"/>
  <c r="I35" i="1"/>
  <c r="I34" i="1"/>
  <c r="I28" i="1"/>
  <c r="I27" i="1"/>
  <c r="I24" i="1"/>
  <c r="I19" i="1"/>
  <c r="I18" i="1"/>
  <c r="I17" i="1"/>
  <c r="I16" i="1"/>
  <c r="I15" i="1"/>
  <c r="I14" i="1"/>
  <c r="I13" i="1"/>
  <c r="I11" i="1"/>
  <c r="I10" i="1"/>
  <c r="I9" i="1"/>
  <c r="I8" i="1"/>
  <c r="I7" i="1"/>
  <c r="I6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59B17D248B54190853AFA7D59C569E2" descr="Image: 2D Stru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99400" y="12573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" name="ID_B06C942C267D4CD3ADF00BC575F21567" descr="Image: 2D Stru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99400" y="18288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9BBF8B648F3C4987B3460AE39830DF7A" descr="Image: 2D Stru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99400" y="24003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6037CE594AC2447C95D0A5545EF3C6EA" descr="Image: 2D Stru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899400" y="28860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" name="ID_B28E9B38DB6B49E18DFD1CD0BDEA852F" descr="Image: 2D Stru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899400" y="37655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" name="ID_54A0FE2D568B4286A14F817CB9288B2D" descr="Image: 2D Stru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899400" y="43370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" name="ID_5D14A585A62E46DC8301DA5DC017E35C" descr="Image: 2D Stru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899400" y="49911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" name="ID_71E799AB50A543F7A3E7183ADB4F1E5B" descr="Image: 2D Stru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899400" y="54768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" name="ID_1C6BC3FAE09E492F91C5F1B1D2ECB6F8" descr="Image: 2D Stru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899400" y="60388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1" name="ID_A2D06C433DE7415583CDCF720C629313" descr="Image: 2D Stru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899400" y="66103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2" name="ID_18D921D99EC545869AEFF4CB7246EE4F" descr="Image: 2D Stru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899400" y="75628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3" name="ID_55A2DD02A8D040A4A7438B935E22F90A" descr="Image: 2D Stru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899400" y="81343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5" name="ID_942CD6B66E134344967586FFBD4BAC5E" descr="Image: 2D Stru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899400" y="86201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4" name="ID_3A06A668362D4CF7B1F0E9C38312D4FC" descr="Image: 2D Structur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899400" y="99409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6" name="ID_EE65592DF8434488A9FD2A85F8F2DD19" descr="Image: 2D Structur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899400" y="111918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7" name="ID_F07B3285CB4E492EA7C2488D87088DEF" descr="Image: 2D Structur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899400" y="116776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8" name="ID_F852B35AB3CB43DAB22A5E9FE5B23584" descr="Image: 2D Structur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899400" y="131191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9" name="ID_D877000AF24C4D8CB132CC549D92793B" descr="Image: 2D Structur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899400" y="136048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0" name="ID_ADA2306E8B9E489492C073D0F7A89BE7" descr="Image: 2D Structure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899400" y="142494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1" name="ID_6C9231E0C23A42ADA94D414D0AAE1A6E" descr="Image: 2D Structur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899400" y="147351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2" name="ID_9C1C3B3035694999AED13C6914E0E803" descr="Image: 2D Structur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899400" y="152114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3" name="ID_6788D225FA4C49C59179D55AA7E2180F" descr="Image: 2D Structur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7899400" y="158559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4" name="ID_882B64DAFC854CF498C36F62E9053CA8" descr="Image: 2D Structur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899400" y="168211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5" name="ID_0653D9AC5FAF4FB19EEE946878536C10" descr="Image: 2D Structur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7899400" y="173069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6" name="ID_E709DF51830C44CAB992AC220E3DF33A" descr="Image: 2D Structur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899400" y="180657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7" name="ID_3C830A3268DB4C2DA6692846E153002A" descr="Image: 2D Structur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7899400" y="185515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8" name="ID_FE5F8B3E86034C1EB357AD3A78D53898" descr="Image: 2D Structur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899400" y="190277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9" name="ID_09F5756437B44DD0887AC583D3EBC037" descr="Image: 2D Structure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7899400" y="195040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0" name="ID_DF1CD769716F4B619508F680503D135C" descr="Image: 2D Structur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7899400" y="205041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1" name="ID_3DCF8117E6E744FA9C023C9F9BBF0C03" descr="Image: 2D Structure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7899400" y="209899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2" name="ID_A7CABB4EAAA548078A1C9CFB464CCED3" descr="Image: 2D Structure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7899400" y="214661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3" name="ID_C263E81E178942B7B41EDD46448F02AC" descr="Image: 2D Structure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7899400" y="219424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4" name="ID_695AD8F97ACD4325A4E463A878FA5F0C" descr="Image: 2D Structure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7899400" y="224186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5" name="ID_FB7D9E91629E4A42AE73CDB42BC1C836" descr="Image: 2D Structur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7899400" y="228949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6" name="ID_A355E8BF1A7B439F8CC175F1502B070F" descr="Image: 2D Structur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7899400" y="233711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7" name="ID_88CE9575C7EC45C486C7591C1362D977" descr="Image: 2D Structur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7899400" y="238474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8" name="ID_38DC3411C48F48FF8B396A5EF1C4F652" descr="Image: 2D Structure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7899400" y="243236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9" name="ID_D9A94B753E464F1EAA1A975C82AFC769" descr="Image: 2D Structure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7899400" y="247999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0" name="ID_7D8AB070C5F5483092FBE25B81EEBD5F" descr="Image: 2D Structure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7899400" y="252761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1" name="ID_CB4E731F18A048EB91B8499D4F778018" descr="Image: 2D Structure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7899400" y="257524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2" name="ID_FFCB739D9FAC47C6A0BEE076409F4D24" descr="Image: 2D Structure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7899400" y="262286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3" name="ID_9D34E9DE66184D6FB4FBAD70237F910E" descr="Image: 2D Structure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7899400" y="267049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4" name="ID_C8BEDF995CF540F7BF59C00272F0E31E" descr="Image: 2D Structure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7899400" y="271811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5" name="ID_932238BBF8B04945B80613B801FB17AB" descr="Image: 2D Structure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7899400" y="278257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6" name="ID_478DB58648D04471B727328EB84AF0A7" descr="Image: 2D Structure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7899400" y="283114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7" name="ID_A56D884BAA18412CAFF9A3386DEC8E36" descr="Image: 2D Structure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7899400" y="287877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8" name="ID_C4C86FA9086345F2A3F2EE1F8C24E80F" descr="Image: 2D Structure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7899400" y="294322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9" name="ID_F5A0F56816CB4B9885A0DD21DFF320CB" descr="Image: 2D Structur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7899400" y="299180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0" name="ID_4A08B300DBA84E60AE647B078BD77D3F" descr="Image: 2D Structure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7899400" y="307403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1" name="ID_EA78ECF6321B47199870F14DDD494C9A" descr="Image: 2D Structur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7899400" y="314229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2" name="ID_91ABDC42AB3545788D09FF9F488084EB" descr="Image: 2D Structure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7899400" y="319087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3" name="ID_1D579C839CA24625AA616AF297E428F7" descr="Image: 2D Structure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7899400" y="323850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4" name="ID_0FE91E1494EB41C9B338E573B4AABCA3" descr="Image: 2D Structur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7899400" y="331438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5" name="ID_7E456F693C83419B9CEA3E4188FF3914" descr="Image: 2D Structure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7899400" y="341090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6" name="ID_C2446700D34546E8A35B81E03DB358C8" descr="Image: 2D Structur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7899400" y="347821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7" name="ID_345DD01D56F443FEB0C205FD2F21225A" descr="Image: 2D Structure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7899400" y="357917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8" name="ID_6B0932D969544FD687E406D0B7C14D95" descr="Image: 2D Structure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7899400" y="362775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9" name="ID_E77E44C6C9A4431497942753FBB4B2C1" descr="Image: 2D Structure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7899400" y="367538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0" name="ID_7CCC4AB7EBDD4878B3F7238E2881F31C" descr="Image: 2D Structure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7899400" y="372300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1" name="ID_036EF859944F4EB1B2A9A02D68E9637B" descr="Image: 2D Structure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7899400" y="377063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2" name="ID_C2BA0733DE3949B88E06C702B0D31FB7" descr="Image: 2D Structure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7899400" y="384746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3" name="ID_837A7E31B2F4431C96D6B3DEBF757773" descr="Image: 2D Structu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7899400" y="395319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4" name="ID_BE3B9EF939D74B5A8ECF2EC55BF77A1E" descr="Image: 2D Structure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7899400" y="400177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5" name="ID_F71CB8472F4F4C9BB459E08DBCE072C0" descr="Image: 2D Structure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7899400" y="404939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6" name="ID_E89D3F85AB434A4788B83FCCF5FB4785" descr="Image: 2D Structure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7899400" y="409702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7" name="ID_35100ABC23784E4B8A082A154002C6E4" descr="Image: 2D Structure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7899400" y="414464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8" name="ID_B45DDE370446448CB8AD2690EEE9B54C" descr="Image: 2D Structure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7899400" y="419227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9" name="ID_F76AD8FBF9FD43F2B10990D71D1B7009" descr="Image: 2D Structur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7899400" y="423989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0" name="ID_066E6CAB1AEA41EDBEFCD4F8CED37678" descr="Image: 2D Structure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7899400" y="430434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1" name="ID_96DE51302B2F443F8590C0A8E273B87E" descr="Image: 2D Structure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7899400" y="435292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2" name="ID_760AB49555B04E7695A742EC7E53A24A" descr="Image: 2D Structure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7899400" y="440055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3" name="ID_6BC5AE1E2E4141258C8FB356A9DC632B" descr="Image: 2D Structure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7899400" y="451199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4" name="ID_6E905F61C6AA4971BAC6C7A527D6B6BC" descr="Image: 2D Structure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7899400" y="459708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5" name="ID_93A965F64F224BD9A3E36E093285152D" descr="Image: 2D Structure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7899400" y="467391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6" name="ID_E557786637334B11884767E8945AAD29" descr="Image: 2D Structure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7899400" y="475075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7" name="ID_DFA170FB83AF40B58CE7137178874D35" descr="Image: 2D Structure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7899400" y="481901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8" name="ID_056379F1CB004A5DAAD0F16ED3083A52" descr="Image: 2D Structure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7899400" y="486759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9" name="ID_36CBAC0428344A28B818F76240F1F69B" descr="Image: 2D Structure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7899400" y="491521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0" name="ID_E5ACE098DC6B4960B57127F29D0F5FAE" descr="Image: 2D Structure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7899400" y="496284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1" name="ID_2588A001C103424F86A65600ECC8E6AB" descr="Image: 2D Structure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7899400" y="503015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2" name="ID_1AE4ED3D23914D3585AAF9B518993F0A" descr="Image: 2D Structure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7899400" y="511619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3" name="ID_18E3279F57E94D789A87B590EDB6ED2B" descr="Image: 2D Structure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7899400" y="516477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4" name="ID_C4A6064487634191A922123B2F661D6B" descr="Image: 2D Structure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7899400" y="523208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5" name="ID_1B248029F5F34A55A6779A57054EC397" descr="Image: 2D Structure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7899400" y="528066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6" name="ID_9350490DA9444DEB9298C32D9AC43A57" descr="Image: 2D Structure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7899400" y="532828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7" name="ID_7B25B0E590B346A7908A59620CE16637" descr="Image: 2D Structure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7899400" y="537591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8" name="ID_A3C95079E58549EAA0B2066A6597452F" descr="Image: 2D Structure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7899400" y="542353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9" name="ID_41B1F9F639FD4D3395AB4868F085A970" descr="Image: 2D Structure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7899400" y="547116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0" name="ID_986E74DB73614CBDBAB5A5D2F59C6393" descr="Image: 2D Structure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7899400" y="551878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1" name="ID_5E2B132AFD624C90A4BC628DC59DA9CA" descr="Image: 2D Structure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7899400" y="556641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2" name="ID_2E188D9C4A584751978BFAB8EE9253CC" descr="Image: 2D Structure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7899400" y="565054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3" name="ID_D52EA9A2C3F04F809A8CA2E3BFD908E2" descr="Image: 2D Structure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7899400" y="569912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4" name="ID_6BC037F3FF8B496BAEB2ADBEB9828CF1" descr="Image: 2D Structure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7899400" y="574675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5" name="ID_9140B96190D342DDB4CB60614D58E030" descr="Image: 2D Structure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7899400" y="5811202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6" name="ID_444456D2D6DE4C3192A909E9F870E69C" descr="Image: 2D Structure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7899400" y="585978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7" name="ID_0B1A5E36307F43C7B1733E061809417E" descr="Image: 2D Structure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7899400" y="590740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8" name="ID_8E30BB617CE1435A8ADC7DDBB9850650" descr="Image: 2D Structure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7899400" y="59655075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9" name="ID_B87E58A3579D4089AE41A2E8C4E4891A" descr="Image: 2D Structure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7899400" y="6014085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0" name="ID_2C0F1F0311B74FF8B5E5DB88F7E2F850" descr="Image: 2D Structure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7899400" y="60617100"/>
          <a:ext cx="1905000" cy="95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1" name="ID_729640B883164A15B030177AF467C98B" descr="Image: 2D Structure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7899400" y="61261625"/>
          <a:ext cx="1905000" cy="9525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<sst xmlns="http://schemas.openxmlformats.org/spreadsheetml/2006/main" count="604" uniqueCount="472">
  <si>
    <t>化合物</t>
  </si>
  <si>
    <t>分子式</t>
  </si>
  <si>
    <t>分子量</t>
  </si>
  <si>
    <t>smiles格式</t>
  </si>
  <si>
    <t>bitter</t>
  </si>
  <si>
    <t>sweet</t>
  </si>
  <si>
    <t>other</t>
  </si>
  <si>
    <t>umami</t>
  </si>
  <si>
    <t>DMEP</t>
  </si>
  <si>
    <t>C5H13O3P</t>
  </si>
  <si>
    <t>152.13 g/mol</t>
  </si>
  <si>
    <t>CCOP(=O)(C)OCC</t>
  </si>
  <si>
    <t>Cedreneoxide</t>
  </si>
  <si>
    <t>Herbacetin</t>
  </si>
  <si>
    <t>C15H10O7</t>
  </si>
  <si>
    <t>302.23 g/mol</t>
  </si>
  <si>
    <t>C1=CC(=CC=C1C2=C(C(
=O)C3=C(O2)C(=C(C=C
3O)O)O)O)O</t>
  </si>
  <si>
    <t> 2%</t>
  </si>
  <si>
    <t>kaempferol</t>
  </si>
  <si>
    <t>C15H10O6</t>
  </si>
  <si>
    <t>286.24 g/mol</t>
  </si>
  <si>
    <t>C1=CC(=CC=C1C2=C(
C(=O)C3=C(C=C(C=C
3O2)O)O)O)O</t>
  </si>
  <si>
    <t>linolenic acid</t>
  </si>
  <si>
    <r>
      <t>C</t>
    </r>
    <r>
      <rPr>
        <vertAlign val="subscript"/>
        <sz val="11"/>
        <color theme="1"/>
        <rFont val="宋体"/>
        <scheme val="minor"/>
      </rPr>
      <t>18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30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2</t>
    </r>
  </si>
  <si>
    <t>278.4 g/mol</t>
  </si>
  <si>
    <t>CC/C=C\C/C=C\C/C=C\
CCCCCCCC(=O)O</t>
  </si>
  <si>
    <t>C20H40O</t>
  </si>
  <si>
    <t>296.5 g/mol</t>
  </si>
  <si>
    <t>C[C@@H](CCC[C@H]
(C)CCC/C(=C/CO)/C)CCCC(C)C</t>
  </si>
  <si>
    <t>delphinidin</t>
  </si>
  <si>
    <t>C15H11ClO7</t>
  </si>
  <si>
    <t>338.69 g/mol</t>
  </si>
  <si>
    <t>C1=C(C=C(C(=C1O)O)
O)C2=[O+]C3=CC(=CC(=C3C=C2O)O)O.[Cl-]</t>
  </si>
  <si>
    <t>DIBP</t>
  </si>
  <si>
    <t>C16H22O4</t>
  </si>
  <si>
    <t>278.34 g/mol</t>
  </si>
  <si>
    <t>CC(C)COC(=O)C1=CC
=CC=C1C(=O)OCC(C)C</t>
  </si>
  <si>
    <t> 9%</t>
  </si>
  <si>
    <t>DBP</t>
  </si>
  <si>
    <t>Farnesylacetone</t>
  </si>
  <si>
    <t>C18H30O</t>
  </si>
  <si>
    <t>262.4 g/mol</t>
  </si>
  <si>
    <t>CC(=CCC/C(=C/CC/C(=
C/CCC(=O)C)/C)/C)C</t>
  </si>
  <si>
    <t>quercetin</t>
  </si>
  <si>
    <t>C1=CC(=C(C=C1C2=C
(C(=O)C3=C(C=C(C=C3O2)O)O)O)O)O</t>
  </si>
  <si>
    <t> 98%</t>
  </si>
  <si>
    <t> 1%</t>
  </si>
  <si>
    <t> 0%</t>
  </si>
  <si>
    <t>luteolin</t>
  </si>
  <si>
    <t>C1=CC(=C(C=C1C2=CC
(=O)C3=C(C=C(C=C3O2)O)O)O)O</t>
  </si>
  <si>
    <t> 95%</t>
  </si>
  <si>
    <t>Stigmasterol</t>
  </si>
  <si>
    <t>C29H48O</t>
  </si>
  <si>
    <t>412.7 g/mol</t>
  </si>
  <si>
    <t>CC[C@H](/C=C/[C@@
H](C)[C@H]1CC[C@@H]2[C@@]1(CC[C@H]3[C@H]2CC=C4[C@@]3(CC[C@@H](C4)O)C)C)C(C)C</t>
  </si>
  <si>
    <t>(+)-catechin</t>
  </si>
  <si>
    <t>C15H14O6</t>
  </si>
  <si>
    <t>290.27 g/mol</t>
  </si>
  <si>
    <t>C1[C@@H]([C@H](OC
2=CC(=CC(=C21)O)O)C3=CC(=C(C=C3)O)O)O</t>
  </si>
  <si>
    <t>oleic acid</t>
  </si>
  <si>
    <t>C18H34O2</t>
  </si>
  <si>
    <t>282.5 g/mol</t>
  </si>
  <si>
    <t>CCCCCCCC/C=C\CCC
CCCCC(=O)O</t>
  </si>
  <si>
    <t> 52%</t>
  </si>
  <si>
    <t>2-Methylpent-2-en-1-ol</t>
  </si>
  <si>
    <r>
      <t>C</t>
    </r>
    <r>
      <rPr>
        <vertAlign val="subscript"/>
        <sz val="11"/>
        <color theme="1"/>
        <rFont val="宋体"/>
        <scheme val="minor"/>
      </rPr>
      <t>6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12</t>
    </r>
    <r>
      <rPr>
        <sz val="11"/>
        <color theme="1"/>
        <rFont val="宋体"/>
        <scheme val="minor"/>
      </rPr>
      <t>O</t>
    </r>
  </si>
  <si>
    <t>100.16 g/mol</t>
  </si>
  <si>
    <t>CC/C=C(\C)/CO</t>
  </si>
  <si>
    <t> 24%</t>
  </si>
  <si>
    <r>
      <t>C</t>
    </r>
    <r>
      <rPr>
        <vertAlign val="subscript"/>
        <sz val="11"/>
        <color theme="1"/>
        <rFont val="宋体"/>
        <scheme val="minor"/>
      </rPr>
      <t>6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O</t>
    </r>
  </si>
  <si>
    <t>98.14 g/mol</t>
  </si>
  <si>
    <t>C[C@@H]1CCC(=O)C1</t>
  </si>
  <si>
    <t>49070_FLUKA</t>
  </si>
  <si>
    <t>(2R)-2-methylbutan-1-ol</t>
  </si>
  <si>
    <r>
      <t>C</t>
    </r>
    <r>
      <rPr>
        <vertAlign val="subscript"/>
        <sz val="11"/>
        <color theme="1"/>
        <rFont val="宋体"/>
        <scheme val="minor"/>
      </rPr>
      <t>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12</t>
    </r>
    <r>
      <rPr>
        <sz val="11"/>
        <color theme="1"/>
        <rFont val="宋体"/>
        <scheme val="minor"/>
      </rPr>
      <t>O</t>
    </r>
  </si>
  <si>
    <t>88.15 g/mol</t>
  </si>
  <si>
    <t>CC[C@@H](C)CO</t>
  </si>
  <si>
    <t>2-methyl-butanol-1-ol</t>
  </si>
  <si>
    <t>1H-Cycloprop(e)azulen-7-ol, decahydro-1,1,7-trimethyl-4-methylene-, (1aR-(1aalpha,4aalpha,7beta,7abeta,7balpha))-</t>
  </si>
  <si>
    <r>
      <t>C</t>
    </r>
    <r>
      <rPr>
        <vertAlign val="subscript"/>
        <sz val="11"/>
        <color theme="1"/>
        <rFont val="宋体"/>
        <scheme val="minor"/>
      </rPr>
      <t>15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24</t>
    </r>
    <r>
      <rPr>
        <sz val="11"/>
        <color theme="1"/>
        <rFont val="宋体"/>
        <scheme val="minor"/>
      </rPr>
      <t>O</t>
    </r>
  </si>
  <si>
    <t>220.35 g/mol</t>
  </si>
  <si>
    <t>C[C@@]1(CC[C@@H]2[C@@H]1[C@H]3[C@H](C3(C)C)CCC2=C)O</t>
  </si>
  <si>
    <t>()-Terpinen-4-ol</t>
  </si>
  <si>
    <t>GBL</t>
  </si>
  <si>
    <r>
      <t>C</t>
    </r>
    <r>
      <rPr>
        <vertAlign val="subscript"/>
        <sz val="11"/>
        <color theme="1"/>
        <rFont val="宋体"/>
        <scheme val="minor"/>
      </rPr>
      <t>4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6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2</t>
    </r>
  </si>
  <si>
    <t>86.09 g/mol</t>
  </si>
  <si>
    <t>C1CC(=O)OC1</t>
  </si>
  <si>
    <t>Amylol</t>
  </si>
  <si>
    <t>CCCCCO</t>
  </si>
  <si>
    <t>cinerolon</t>
  </si>
  <si>
    <r>
      <t>C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14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2</t>
    </r>
  </si>
  <si>
    <t>166.22 g/mol</t>
  </si>
  <si>
    <t>C/C=C\CC1=C(C(CC1=O)O)C</t>
  </si>
  <si>
    <t>Tiglaldehyde</t>
  </si>
  <si>
    <r>
      <t>C</t>
    </r>
    <r>
      <rPr>
        <vertAlign val="subscript"/>
        <sz val="11"/>
        <color theme="1"/>
        <rFont val="宋体"/>
        <scheme val="minor"/>
      </rPr>
      <t>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O</t>
    </r>
  </si>
  <si>
    <t>84.12 g/mol</t>
  </si>
  <si>
    <t>C/C=C(\C)/C=O</t>
  </si>
  <si>
    <t>isobutyric acid</t>
  </si>
  <si>
    <r>
      <t>C</t>
    </r>
    <r>
      <rPr>
        <vertAlign val="subscript"/>
        <sz val="11"/>
        <color theme="1"/>
        <rFont val="宋体"/>
        <scheme val="minor"/>
      </rPr>
      <t>4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2</t>
    </r>
  </si>
  <si>
    <t>88.11 g/mol</t>
  </si>
  <si>
    <t>CC(C)C(=O)O</t>
  </si>
  <si>
    <t>CYH</t>
  </si>
  <si>
    <t>MIPK</t>
  </si>
  <si>
    <r>
      <t>C</t>
    </r>
    <r>
      <rPr>
        <vertAlign val="subscript"/>
        <sz val="11"/>
        <color theme="1"/>
        <rFont val="宋体"/>
        <scheme val="minor"/>
      </rPr>
      <t>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O</t>
    </r>
  </si>
  <si>
    <t>86.13 g/mol</t>
  </si>
  <si>
    <t>CC(C)C(=O)C</t>
  </si>
  <si>
    <t>2-Methylpentan-3-one</t>
  </si>
  <si>
    <t>C6H12O</t>
  </si>
  <si>
    <t>CCC(=O)C(C)C</t>
  </si>
  <si>
    <t>Methyleugenol</t>
  </si>
  <si>
    <r>
      <t>C</t>
    </r>
    <r>
      <rPr>
        <vertAlign val="subscript"/>
        <sz val="11"/>
        <color theme="1"/>
        <rFont val="宋体"/>
        <scheme val="minor"/>
      </rPr>
      <t>11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14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2</t>
    </r>
  </si>
  <si>
    <t>178.23 g/mol</t>
  </si>
  <si>
    <t>COC1=C(C=C(C=C1)CC=C)OC</t>
  </si>
  <si>
    <t>hexanoic acid</t>
  </si>
  <si>
    <r>
      <t>C</t>
    </r>
    <r>
      <rPr>
        <vertAlign val="subscript"/>
        <sz val="11"/>
        <color theme="1"/>
        <rFont val="宋体"/>
        <scheme val="minor"/>
      </rPr>
      <t>6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12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2</t>
    </r>
  </si>
  <si>
    <t>116.16 g/mol</t>
  </si>
  <si>
    <t>CCCCCC(=O)O</t>
  </si>
  <si>
    <t>DS</t>
  </si>
  <si>
    <t>(E)-Pent-2-en-1-ol</t>
  </si>
  <si>
    <t>CC/C=C/CO</t>
  </si>
  <si>
    <t>eriodictyol</t>
  </si>
  <si>
    <r>
      <t>C</t>
    </r>
    <r>
      <rPr>
        <vertAlign val="subscript"/>
        <sz val="11"/>
        <color theme="1"/>
        <rFont val="宋体"/>
        <scheme val="minor"/>
      </rPr>
      <t>15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12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6</t>
    </r>
  </si>
  <si>
    <t>288.25 g/mol</t>
  </si>
  <si>
    <t>C1[C@H](OC2=CC(=CC(=C2C1=O)O)O)C3=CC(=C(C=C3)O)O</t>
  </si>
  <si>
    <t> 88%</t>
  </si>
  <si>
    <t>Cathine</t>
  </si>
  <si>
    <r>
      <t>C</t>
    </r>
    <r>
      <rPr>
        <vertAlign val="subscript"/>
        <sz val="11"/>
        <color theme="1"/>
        <rFont val="宋体"/>
        <scheme val="minor"/>
      </rPr>
      <t>9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13</t>
    </r>
    <r>
      <rPr>
        <sz val="11"/>
        <color theme="1"/>
        <rFont val="宋体"/>
        <scheme val="minor"/>
      </rPr>
      <t>NO</t>
    </r>
  </si>
  <si>
    <t>151.21 g/mol</t>
  </si>
  <si>
    <t>C[C@@H]([C@H](C1=CC=CC=C1)O)N</t>
  </si>
  <si>
    <t> 18%</t>
  </si>
  <si>
    <t>CAM</t>
  </si>
  <si>
    <t>Syringaldehyde</t>
  </si>
  <si>
    <r>
      <t>C</t>
    </r>
    <r>
      <rPr>
        <vertAlign val="subscript"/>
        <sz val="11"/>
        <color theme="1"/>
        <rFont val="宋体"/>
        <scheme val="minor"/>
      </rPr>
      <t>9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4</t>
    </r>
  </si>
  <si>
    <t>182.17 g/mol</t>
  </si>
  <si>
    <t>COC1=CC(=CC(=C1O)OC)C=O</t>
  </si>
  <si>
    <t> 38%</t>
  </si>
  <si>
    <t>(2S,5R)-2-isopropenyl-5-methyl-1-cyclohexanone</t>
  </si>
  <si>
    <t>Prenol</t>
  </si>
  <si>
    <t>CC(=CCO)C</t>
  </si>
  <si>
    <t>Usaf cs-6</t>
  </si>
  <si>
    <t>C[C@@H]([C@@H](C1=CC=CC=C1)O)N</t>
  </si>
  <si>
    <t>L-Bornyl acetate</t>
  </si>
  <si>
    <r>
      <t>C</t>
    </r>
    <r>
      <rPr>
        <vertAlign val="subscript"/>
        <sz val="11"/>
        <color theme="1"/>
        <rFont val="宋体"/>
        <scheme val="minor"/>
      </rPr>
      <t>12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20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2</t>
    </r>
  </si>
  <si>
    <t>196.29 g/mol</t>
  </si>
  <si>
    <t>CC(=O)O[C@@H]1C[C@@H]2CC[C@]1(C2(C)C)C</t>
  </si>
  <si>
    <t>O-benzoyl-L-(+)-pseudoephedrine</t>
  </si>
  <si>
    <t>Aromadendrene oxide 2</t>
  </si>
  <si>
    <t>C[C@@H]1CC[C@@H]2[C@@H]1[C@H]3[C@H](C3(C)C)CC[C@@]24CO4</t>
  </si>
  <si>
    <t>1(3H)-Isobenzofuranone, 3-butyl-3a,4,5,6-tetrahydro-, cis-(-)-</t>
  </si>
  <si>
    <r>
      <t>C</t>
    </r>
    <r>
      <rPr>
        <vertAlign val="subscript"/>
        <sz val="11"/>
        <color theme="1"/>
        <rFont val="宋体"/>
        <scheme val="minor"/>
      </rPr>
      <t>12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18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2</t>
    </r>
  </si>
  <si>
    <t>194.27 g/mol</t>
  </si>
  <si>
    <t>CCCC[C@H]1[C@@H]2CCCC=C2C(=O)O1</t>
  </si>
  <si>
    <t> 33%</t>
  </si>
  <si>
    <t> 8%</t>
  </si>
  <si>
    <t>(E)-oct-2-en-4-one</t>
  </si>
  <si>
    <r>
      <t>C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14</t>
    </r>
    <r>
      <rPr>
        <sz val="11"/>
        <color theme="1"/>
        <rFont val="宋体"/>
        <scheme val="minor"/>
      </rPr>
      <t>O</t>
    </r>
  </si>
  <si>
    <t>126.20 g/mol</t>
  </si>
  <si>
    <t>CCCCC(=O)/C=C/C</t>
  </si>
  <si>
    <t>2-Hexenol</t>
  </si>
  <si>
    <t>CCC/C=C/CO</t>
  </si>
  <si>
    <t>()-N-Methylephedrine</t>
  </si>
  <si>
    <t>MBP</t>
  </si>
  <si>
    <t>OXA</t>
  </si>
  <si>
    <t>d-Dihydrocarvone</t>
  </si>
  <si>
    <r>
      <t>C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16</t>
    </r>
    <r>
      <rPr>
        <sz val="11"/>
        <color theme="1"/>
        <rFont val="宋体"/>
        <scheme val="minor"/>
      </rPr>
      <t>O</t>
    </r>
  </si>
  <si>
    <t>152.23 g/mol</t>
  </si>
  <si>
    <t>C[C@@H]1CC[C@H](CC1=O)C(=C)C</t>
  </si>
  <si>
    <t>3-Hexenol</t>
  </si>
  <si>
    <t>CC/C=C\CCO</t>
  </si>
  <si>
    <t>C2H5CH=CHCOOH</t>
  </si>
  <si>
    <r>
      <t>C</t>
    </r>
    <r>
      <rPr>
        <vertAlign val="subscript"/>
        <sz val="11"/>
        <color theme="1"/>
        <rFont val="宋体"/>
        <scheme val="minor"/>
      </rPr>
      <t>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2</t>
    </r>
  </si>
  <si>
    <t>100.12 g/mol</t>
  </si>
  <si>
    <t>CC/C=C/C(=O)O</t>
  </si>
  <si>
    <t> 23%</t>
  </si>
  <si>
    <t>d-isomenthone</t>
  </si>
  <si>
    <r>
      <t>C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18</t>
    </r>
    <r>
      <rPr>
        <sz val="11"/>
        <color theme="1"/>
        <rFont val="宋体"/>
        <scheme val="minor"/>
      </rPr>
      <t>O</t>
    </r>
  </si>
  <si>
    <t>154.25 g/mol</t>
  </si>
  <si>
    <t>C[C@@H]1CC[C@@H](C(=O)C1)C(C)C</t>
  </si>
  <si>
    <t>(-)-isomenthone</t>
  </si>
  <si>
    <t>C[C@H]1CC[C@H](C(=O)C1)C(C)C</t>
  </si>
  <si>
    <t>7-oxabicyclo-2.2.1-heptane,1-methyl-4-[1-methylethyl]-</t>
  </si>
  <si>
    <t>CC(C)C12CCC(O1)(CC2)C</t>
  </si>
  <si>
    <t> 27%</t>
  </si>
  <si>
    <t>2-Methyl-1-naphthol</t>
  </si>
  <si>
    <r>
      <t>C</t>
    </r>
    <r>
      <rPr>
        <vertAlign val="subscript"/>
        <sz val="11"/>
        <color theme="1"/>
        <rFont val="宋体"/>
        <scheme val="minor"/>
      </rPr>
      <t>11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O</t>
    </r>
  </si>
  <si>
    <t>158.20 g/mol</t>
  </si>
  <si>
    <t>CC1=C(C2=CC=CC=C2C=C1)O</t>
  </si>
  <si>
    <t>Methylbenzylamine</t>
  </si>
  <si>
    <r>
      <t>C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11</t>
    </r>
    <r>
      <rPr>
        <sz val="11"/>
        <color theme="1"/>
        <rFont val="宋体"/>
        <scheme val="minor"/>
      </rPr>
      <t>N</t>
    </r>
  </si>
  <si>
    <t>121.18 g/mol</t>
  </si>
  <si>
    <t>CNCC1=CC=CC=C1</t>
  </si>
  <si>
    <t> 31%</t>
  </si>
  <si>
    <t>naringenin</t>
  </si>
  <si>
    <r>
      <t>C</t>
    </r>
    <r>
      <rPr>
        <vertAlign val="subscript"/>
        <sz val="11"/>
        <color theme="1"/>
        <rFont val="宋体"/>
        <scheme val="minor"/>
      </rPr>
      <t>15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12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5</t>
    </r>
  </si>
  <si>
    <t>272.25 g/mol</t>
  </si>
  <si>
    <t>C1[C@H](OC2=CC(=CC(=C2C1=O)O)O)C3=CC=C(C=C3)O</t>
  </si>
  <si>
    <t>WLN: Q1R</t>
  </si>
  <si>
    <r>
      <t>C</t>
    </r>
    <r>
      <rPr>
        <vertAlign val="subscript"/>
        <sz val="11"/>
        <color theme="1"/>
        <rFont val="宋体"/>
        <scheme val="minor"/>
      </rPr>
      <t>7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O</t>
    </r>
  </si>
  <si>
    <t>108.14 g/mol</t>
  </si>
  <si>
    <t>C1=CC=C(C=C1)CO</t>
  </si>
  <si>
    <t>Ethyl 2-decenoate</t>
  </si>
  <si>
    <r>
      <t>C</t>
    </r>
    <r>
      <rPr>
        <vertAlign val="subscript"/>
        <sz val="11"/>
        <color theme="1"/>
        <rFont val="宋体"/>
        <scheme val="minor"/>
      </rPr>
      <t>12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22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2</t>
    </r>
  </si>
  <si>
    <t>198.30 g/mol</t>
  </si>
  <si>
    <t>CCCCCCC/C=C/C(=O)OCC</t>
  </si>
  <si>
    <t>leucopelargonidin</t>
  </si>
  <si>
    <r>
      <t>C</t>
    </r>
    <r>
      <rPr>
        <vertAlign val="subscript"/>
        <sz val="11"/>
        <color theme="1"/>
        <rFont val="宋体"/>
        <scheme val="minor"/>
      </rPr>
      <t>15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14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6</t>
    </r>
  </si>
  <si>
    <t>C1=CC(=CC=C1C2C(C(C3=C(C=C(C=C3O2)O)O)O)O)O</t>
  </si>
  <si>
    <t>l-Menthone</t>
  </si>
  <si>
    <t>C[C@@H]1CC[C@H](C(=O)C1)C(C)C</t>
  </si>
  <si>
    <t>()-Menthone</t>
  </si>
  <si>
    <t> 28%</t>
  </si>
  <si>
    <t>taxifolin</t>
  </si>
  <si>
    <r>
      <t>C</t>
    </r>
    <r>
      <rPr>
        <vertAlign val="subscript"/>
        <sz val="11"/>
        <color theme="1"/>
        <rFont val="宋体"/>
        <scheme val="minor"/>
      </rPr>
      <t>15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12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7</t>
    </r>
  </si>
  <si>
    <t>304.25 g/mol</t>
  </si>
  <si>
    <t>C1=CC(=C(C=C1[C@@H]2[C@H](C(=O)C3=C(C=C(C=C3O2)O)O)O)O)O</t>
  </si>
  <si>
    <t> 85%</t>
  </si>
  <si>
    <t>Schizonol</t>
  </si>
  <si>
    <t>2,3,4-Trimethyl-5-phenyloxazolidine</t>
  </si>
  <si>
    <r>
      <t>C</t>
    </r>
    <r>
      <rPr>
        <vertAlign val="subscript"/>
        <sz val="11"/>
        <color theme="1"/>
        <rFont val="宋体"/>
        <scheme val="minor"/>
      </rPr>
      <t>12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17</t>
    </r>
    <r>
      <rPr>
        <sz val="11"/>
        <color theme="1"/>
        <rFont val="宋体"/>
        <scheme val="minor"/>
      </rPr>
      <t>NO</t>
    </r>
  </si>
  <si>
    <t>191.27 g/mol</t>
  </si>
  <si>
    <t>CC1C(OC(N1C)C)C2=CC=CC=C2</t>
  </si>
  <si>
    <t> 4%</t>
  </si>
  <si>
    <t>1,3,4-trimethyl-3-cyclohexene-1-carboxaldehyde</t>
  </si>
  <si>
    <t>CC1=C(CC(CC1)(C)C=O)C</t>
  </si>
  <si>
    <t>2-Hexanoylfuran</t>
  </si>
  <si>
    <t>CCCCCC(=O)C1=CC=CO1</t>
  </si>
  <si>
    <t> 81%</t>
  </si>
  <si>
    <t>()-Aromadendrene</t>
  </si>
  <si>
    <t>hexanal</t>
  </si>
  <si>
    <t>CCCCCC=O</t>
  </si>
  <si>
    <t> 7%</t>
  </si>
  <si>
    <t>p-Nitrosotoluene</t>
  </si>
  <si>
    <r>
      <t>C</t>
    </r>
    <r>
      <rPr>
        <vertAlign val="subscript"/>
        <sz val="11"/>
        <color theme="1"/>
        <rFont val="宋体"/>
        <scheme val="minor"/>
      </rPr>
      <t>7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7</t>
    </r>
    <r>
      <rPr>
        <sz val="11"/>
        <color theme="1"/>
        <rFont val="宋体"/>
        <scheme val="minor"/>
      </rPr>
      <t>NO</t>
    </r>
  </si>
  <si>
    <t>121.14 g/mol</t>
  </si>
  <si>
    <t>CC1=CC=C(C=C1)N=O</t>
  </si>
  <si>
    <t> 25%</t>
  </si>
  <si>
    <t>eth</t>
  </si>
  <si>
    <t>ETHYL FURAN</t>
  </si>
  <si>
    <t>PENTYLFURAN</t>
  </si>
  <si>
    <r>
      <t>C</t>
    </r>
    <r>
      <rPr>
        <vertAlign val="subscript"/>
        <sz val="11"/>
        <color theme="1"/>
        <rFont val="宋体"/>
        <scheme val="minor"/>
      </rPr>
      <t>9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14</t>
    </r>
    <r>
      <rPr>
        <sz val="11"/>
        <color theme="1"/>
        <rFont val="宋体"/>
        <scheme val="minor"/>
      </rPr>
      <t>O</t>
    </r>
  </si>
  <si>
    <t>138.21 g/mol</t>
  </si>
  <si>
    <t>CCCCCC1=CC=CO1</t>
  </si>
  <si>
    <t> 46%</t>
  </si>
  <si>
    <t>Fleet-X</t>
  </si>
  <si>
    <r>
      <t>C</t>
    </r>
    <r>
      <rPr>
        <vertAlign val="subscript"/>
        <sz val="11"/>
        <color theme="1"/>
        <rFont val="宋体"/>
        <scheme val="minor"/>
      </rPr>
      <t>9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12</t>
    </r>
  </si>
  <si>
    <t>120.19 g/mol</t>
  </si>
  <si>
    <t>CC1=CC(=CC(=C1)C)C</t>
  </si>
  <si>
    <t>(&amp;#8722;)-Alloaromadendrene</t>
  </si>
  <si>
    <r>
      <t>C</t>
    </r>
    <r>
      <rPr>
        <vertAlign val="subscript"/>
        <sz val="11"/>
        <color theme="1"/>
        <rFont val="宋体"/>
        <scheme val="minor"/>
      </rPr>
      <t>15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24</t>
    </r>
  </si>
  <si>
    <t>204.35 g/mol</t>
  </si>
  <si>
    <t>CC1CCC2C1C3C(C3(C)C)CCC2=C</t>
  </si>
  <si>
    <t>p-Toluyl chloride</t>
  </si>
  <si>
    <r>
      <t>C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7</t>
    </r>
    <r>
      <rPr>
        <sz val="11"/>
        <color theme="1"/>
        <rFont val="宋体"/>
        <scheme val="minor"/>
      </rPr>
      <t>ClO</t>
    </r>
  </si>
  <si>
    <t>154.59 g/mol</t>
  </si>
  <si>
    <t>CC1=CC=C(C=C1)C(=O)Cl</t>
  </si>
  <si>
    <t>19889-94-2</t>
  </si>
  <si>
    <t>C[C@H]1[C@H]2C[C@H](C2(C)C)C[C@@H]1O</t>
  </si>
  <si>
    <t>(6R)-6-isopropyl-3-methyl-1-cyclohex-2-enone</t>
  </si>
  <si>
    <t>alloaromadedrene</t>
  </si>
  <si>
    <t>1,5,8-trimethyl-1,2-dihydro-naphthalene</t>
  </si>
  <si>
    <t>1,2,3-trimethylcyclohexane</t>
  </si>
  <si>
    <r>
      <t>C</t>
    </r>
    <r>
      <rPr>
        <vertAlign val="subscript"/>
        <sz val="11"/>
        <color theme="1"/>
        <rFont val="宋体"/>
        <scheme val="minor"/>
      </rPr>
      <t>9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18</t>
    </r>
  </si>
  <si>
    <t>126.24 g/mol</t>
  </si>
  <si>
    <t>CC1CCCC(C1C)C</t>
  </si>
  <si>
    <t>patchoulane</t>
  </si>
  <si>
    <r>
      <t>C</t>
    </r>
    <r>
      <rPr>
        <vertAlign val="subscript"/>
        <sz val="11"/>
        <color theme="1"/>
        <rFont val="宋体"/>
        <scheme val="minor"/>
      </rPr>
      <t>15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26</t>
    </r>
  </si>
  <si>
    <t>206.37 g/mol</t>
  </si>
  <si>
    <t>CC1CCC23C1CC(C2(C)C)CCC3C</t>
  </si>
  <si>
    <t>伪-gurjunene</t>
  </si>
  <si>
    <t>Psi-ephedrin</t>
  </si>
  <si>
    <r>
      <t>C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15</t>
    </r>
    <r>
      <rPr>
        <sz val="11"/>
        <color theme="1"/>
        <rFont val="宋体"/>
        <scheme val="minor"/>
      </rPr>
      <t>NO</t>
    </r>
  </si>
  <si>
    <t>165.23 g/mol</t>
  </si>
  <si>
    <t>C[C@@H]([C@H](C1=CC=CC=C1)O)NC</t>
  </si>
  <si>
    <t> 34%</t>
  </si>
  <si>
    <t> 44%</t>
  </si>
  <si>
    <t>Schizonodiol</t>
  </si>
  <si>
    <t>DEP</t>
  </si>
  <si>
    <t>PCR</t>
  </si>
  <si>
    <t>Pulegone</t>
  </si>
  <si>
    <t>C[C@@H]1CCC(=C(C)C)C(=O)C1</t>
  </si>
  <si>
    <t>carvenone</t>
  </si>
  <si>
    <t>CC1CCC(=CC1=O)C(C)C</t>
  </si>
  <si>
    <t>(-)-Pulegone</t>
  </si>
  <si>
    <t>C[C@H]1CCC(=C(C)C)C(=O)C1</t>
  </si>
  <si>
    <t>(1R,2R,4R)-Dihydrocarveol</t>
  </si>
  <si>
    <t>C[C@@H]1CC[C@H](C[C@H]1O)C(=C)C</t>
  </si>
  <si>
    <t>trans-2,4-decadienal</t>
  </si>
  <si>
    <t>CCCCCC=C/C=C/C=O</t>
  </si>
  <si>
    <t>(5S)-3,5-dimethylcyclohex-2-en-1-one</t>
  </si>
  <si>
    <r>
      <t>C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12</t>
    </r>
    <r>
      <rPr>
        <sz val="11"/>
        <color theme="1"/>
        <rFont val="宋体"/>
        <scheme val="minor"/>
      </rPr>
      <t>O</t>
    </r>
  </si>
  <si>
    <t>124.18 g/mol</t>
  </si>
  <si>
    <t>C[C@H]1CC(=CC(=O)C1)C</t>
  </si>
  <si>
    <t>ISOPULEGOL</t>
  </si>
  <si>
    <t>CC1CCC(C(C1)O)C(=C)C</t>
  </si>
  <si>
    <t>l-Verbenone</t>
  </si>
  <si>
    <r>
      <t>C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14</t>
    </r>
    <r>
      <rPr>
        <sz val="11"/>
        <color theme="1"/>
        <rFont val="宋体"/>
        <scheme val="minor"/>
      </rPr>
      <t>O</t>
    </r>
  </si>
  <si>
    <t>150.22 g/mol</t>
  </si>
  <si>
    <t>CC1=CC(=O)[C@H]2C[C@@H]1C2(C)C</t>
  </si>
  <si>
    <t>2,5-Dimethylpyrazole</t>
  </si>
  <si>
    <r>
      <t>C</t>
    </r>
    <r>
      <rPr>
        <vertAlign val="subscript"/>
        <sz val="11"/>
        <color theme="1"/>
        <rFont val="宋体"/>
        <scheme val="minor"/>
      </rPr>
      <t>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N</t>
    </r>
    <r>
      <rPr>
        <vertAlign val="subscript"/>
        <sz val="11"/>
        <color theme="1"/>
        <rFont val="宋体"/>
        <scheme val="minor"/>
      </rPr>
      <t>2</t>
    </r>
  </si>
  <si>
    <t>96.13 g/mol</t>
  </si>
  <si>
    <t>CC1=NN(C=C1)C</t>
  </si>
  <si>
    <t>()-Neomenthol</t>
  </si>
  <si>
    <t>19894-97-4</t>
  </si>
  <si>
    <t>CC1([C@H]2CC=C([C@@H]1C2)CO)C</t>
  </si>
  <si>
    <t>1-terpineol</t>
  </si>
  <si>
    <t>CC(C)C1=CCC(CC1)(C)O</t>
  </si>
  <si>
    <t> 58%</t>
  </si>
  <si>
    <t> 12%</t>
  </si>
  <si>
    <t>l-carvone</t>
  </si>
  <si>
    <t>CC1=CC[C@H](CC1=O)C(=C)C</t>
  </si>
  <si>
    <t>WLN: T5OJ BVO1</t>
  </si>
  <si>
    <r>
      <t>C</t>
    </r>
    <r>
      <rPr>
        <vertAlign val="subscript"/>
        <sz val="11"/>
        <color theme="1"/>
        <rFont val="宋体"/>
        <scheme val="minor"/>
      </rPr>
      <t>6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6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3</t>
    </r>
  </si>
  <si>
    <t>126.11 g/mol</t>
  </si>
  <si>
    <t>COC(=O)C1=CC=CO1</t>
  </si>
  <si>
    <t> 37%</t>
  </si>
  <si>
    <t>Linalool</t>
  </si>
  <si>
    <t>CC(=CCCC(C)(C=C)O)C</t>
  </si>
  <si>
    <t>Allyloxybenzene</t>
  </si>
  <si>
    <r>
      <t>C</t>
    </r>
    <r>
      <rPr>
        <vertAlign val="subscript"/>
        <sz val="11"/>
        <color theme="1"/>
        <rFont val="宋体"/>
        <scheme val="minor"/>
      </rPr>
      <t>9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O</t>
    </r>
  </si>
  <si>
    <t>134.17 g/mol</t>
  </si>
  <si>
    <t>C=CCOC1=CC=CC=C1</t>
  </si>
  <si>
    <t>6-Hydroxykynurenate</t>
  </si>
  <si>
    <r>
      <t>C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7</t>
    </r>
    <r>
      <rPr>
        <sz val="11"/>
        <color theme="1"/>
        <rFont val="宋体"/>
        <scheme val="minor"/>
      </rPr>
      <t>NO</t>
    </r>
    <r>
      <rPr>
        <vertAlign val="subscript"/>
        <sz val="11"/>
        <color theme="1"/>
        <rFont val="宋体"/>
        <scheme val="minor"/>
      </rPr>
      <t>4</t>
    </r>
  </si>
  <si>
    <t>205.17 g/mol</t>
  </si>
  <si>
    <t>C1=CC2=C(C=C1O)C(=O)C=C(N2)C(=O)O</t>
  </si>
  <si>
    <t>58870_FLUKA</t>
  </si>
  <si>
    <t>(L)-alpha-Terpineol</t>
  </si>
  <si>
    <t>CC1=CC[C@H](CC1)C(C)(C)O</t>
  </si>
  <si>
    <t>d-Piperitone</t>
  </si>
  <si>
    <t>CC1=CC(=O)[C@@H](CC1)C(C)C</t>
  </si>
  <si>
    <t>p-xylene</t>
  </si>
  <si>
    <r>
      <t>C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10</t>
    </r>
  </si>
  <si>
    <t>106.16 g/mol</t>
  </si>
  <si>
    <t>CC1=CC=C(C=C1)C</t>
  </si>
  <si>
    <t>76897_FLUKA</t>
  </si>
  <si>
    <t>2-ethylidene-1,1-dimethyl-cyclopentane</t>
  </si>
  <si>
    <r>
      <t>C</t>
    </r>
    <r>
      <rPr>
        <vertAlign val="subscript"/>
        <sz val="11"/>
        <color theme="1"/>
        <rFont val="宋体"/>
        <scheme val="minor"/>
      </rPr>
      <t>9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16</t>
    </r>
  </si>
  <si>
    <t>124.22 g/mol</t>
  </si>
  <si>
    <t>CC=C1CCCC1(C)C</t>
  </si>
  <si>
    <t>cis-p-2,8-Menthadien-1-ol</t>
  </si>
  <si>
    <t>3-methylhexa-2,4-diene</t>
  </si>
  <si>
    <r>
      <t>C</t>
    </r>
    <r>
      <rPr>
        <vertAlign val="subscript"/>
        <sz val="11"/>
        <color theme="1"/>
        <rFont val="宋体"/>
        <scheme val="minor"/>
      </rPr>
      <t>7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12</t>
    </r>
  </si>
  <si>
    <t>96.17 g/mol</t>
  </si>
  <si>
    <t>CC=CC(=CC)C</t>
  </si>
  <si>
    <t>Hypnon</t>
  </si>
  <si>
    <t>acetic acid</t>
  </si>
  <si>
    <r>
      <t>C</t>
    </r>
    <r>
      <rPr>
        <vertAlign val="subscript"/>
        <sz val="11"/>
        <color theme="1"/>
        <rFont val="宋体"/>
        <scheme val="minor"/>
      </rPr>
      <t>2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4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2</t>
    </r>
  </si>
  <si>
    <t>60.05 g/mol</t>
  </si>
  <si>
    <t>CC(=O)O</t>
  </si>
  <si>
    <t>Isobutyl benzoate</t>
  </si>
  <si>
    <t>CC(C)COC(=O)C1=CC=CC=C1</t>
  </si>
  <si>
    <t>[(1S,4S)-4-isopropyl-1-cyclohex-2-enyl]methanol</t>
  </si>
  <si>
    <t>Hordenine</t>
  </si>
  <si>
    <t>CN(C)CCC1=CC=C(C=C1)O</t>
  </si>
  <si>
    <t>3,7-dimethyl-cyclopenta cyclooctene</t>
  </si>
  <si>
    <t>CLOVENE</t>
  </si>
  <si>
    <t>C[C@@]12CCC[C@]3(C1)C=CC([C@@H]3CC2)(C)C</t>
  </si>
  <si>
    <t> 6%</t>
  </si>
  <si>
    <t>(-)-alpha-Pinene</t>
  </si>
  <si>
    <r>
      <t>C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16</t>
    </r>
  </si>
  <si>
    <t>136.23 g/mol</t>
  </si>
  <si>
    <t>CC1=CC[C@H]2C[C@@H]1C2(C)C</t>
  </si>
  <si>
    <t>(1S,5S)-1-isopropyl-4-methylenebicyclo[3.1.0]hexane</t>
  </si>
  <si>
    <t>CC(C)[C@@]12CCC(=C)[C@@H]1C2</t>
  </si>
  <si>
    <t> 82%</t>
  </si>
  <si>
    <t>Clorius</t>
  </si>
  <si>
    <r>
      <t>C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2</t>
    </r>
  </si>
  <si>
    <t>136.15 g/mol</t>
  </si>
  <si>
    <t>COC(=O)C1=CC=CC=C1</t>
  </si>
  <si>
    <t> 72%</t>
  </si>
  <si>
    <t>HMF</t>
  </si>
  <si>
    <t>C1=C(OC(=C1)C=O)CO</t>
  </si>
  <si>
    <t>EEE</t>
  </si>
  <si>
    <r>
      <t>C</t>
    </r>
    <r>
      <rPr>
        <vertAlign val="subscript"/>
        <sz val="11"/>
        <color theme="1"/>
        <rFont val="宋体"/>
        <scheme val="minor"/>
      </rPr>
      <t>15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25</t>
    </r>
    <r>
      <rPr>
        <sz val="11"/>
        <color theme="1"/>
        <rFont val="宋体"/>
        <scheme val="minor"/>
      </rPr>
      <t>NO</t>
    </r>
    <r>
      <rPr>
        <vertAlign val="subscript"/>
        <sz val="11"/>
        <color theme="1"/>
        <rFont val="宋体"/>
        <scheme val="minor"/>
      </rPr>
      <t>3</t>
    </r>
  </si>
  <si>
    <t>267.36 g/mol</t>
  </si>
  <si>
    <t>CCOC1=CC(=C(C=C1CC(C)N)OCC)OCC</t>
  </si>
  <si>
    <t>Izoforon</t>
  </si>
  <si>
    <t>CC1=CC(=O)CC(C1)(C)C</t>
  </si>
  <si>
    <t>(E)-oct-3-en-1-yne</t>
  </si>
  <si>
    <r>
      <t>C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12</t>
    </r>
  </si>
  <si>
    <t>108.18 g/mol</t>
  </si>
  <si>
    <t>CCCC/C=C/C#C</t>
  </si>
  <si>
    <t> 66%</t>
  </si>
  <si>
    <t>(-)-nopinene</t>
  </si>
  <si>
    <t>CC1([C@H]2CCC(=C)[C@@H]1C2)C</t>
  </si>
  <si>
    <t>()-beta-Pinene</t>
  </si>
  <si>
    <t>2-Caren-10-al</t>
  </si>
  <si>
    <t>CC1(C2C1C=C(CC2)C=O)C</t>
  </si>
  <si>
    <t>KYNA</t>
  </si>
  <si>
    <r>
      <t>C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7</t>
    </r>
    <r>
      <rPr>
        <sz val="11"/>
        <color theme="1"/>
        <rFont val="宋体"/>
        <scheme val="minor"/>
      </rPr>
      <t>NO</t>
    </r>
    <r>
      <rPr>
        <vertAlign val="subscript"/>
        <sz val="11"/>
        <color theme="1"/>
        <rFont val="宋体"/>
        <scheme val="minor"/>
      </rPr>
      <t>3</t>
    </r>
  </si>
  <si>
    <t>189.17 g/mol</t>
  </si>
  <si>
    <t>C1=CC=C2C(=C1)C(=O)C=C(N2)C(=O)O</t>
  </si>
  <si>
    <t>Ethyltrimethylethylene</t>
  </si>
  <si>
    <r>
      <t>C</t>
    </r>
    <r>
      <rPr>
        <vertAlign val="subscript"/>
        <sz val="11"/>
        <color theme="1"/>
        <rFont val="宋体"/>
        <scheme val="minor"/>
      </rPr>
      <t>7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14</t>
    </r>
  </si>
  <si>
    <t>98.19 g/mol</t>
  </si>
  <si>
    <t>CCC(=C(C)C)C</t>
  </si>
  <si>
    <t>Tybraine</t>
  </si>
  <si>
    <r>
      <t>C</t>
    </r>
    <r>
      <rPr>
        <vertAlign val="subscript"/>
        <sz val="11"/>
        <color theme="1"/>
        <rFont val="宋体"/>
        <scheme val="minor"/>
      </rPr>
      <t>11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17</t>
    </r>
    <r>
      <rPr>
        <sz val="11"/>
        <color theme="1"/>
        <rFont val="宋体"/>
        <scheme val="minor"/>
      </rPr>
      <t>NO</t>
    </r>
  </si>
  <si>
    <t>179.26 g/mol</t>
  </si>
  <si>
    <t>C[C@@H]([C@@H](C1=CC=CC=C1)O)N(C)C</t>
  </si>
  <si>
    <t>4-[(3R)-3-hydroxybutyl]phenol</t>
  </si>
  <si>
    <t>C[C@H](CCC1=CC=C(C=C1)O)O</t>
  </si>
  <si>
    <t> 55%</t>
  </si>
  <si>
    <t>Truflex OBP</t>
  </si>
  <si>
    <r>
      <t>C</t>
    </r>
    <r>
      <rPr>
        <vertAlign val="subscript"/>
        <sz val="11"/>
        <color theme="1"/>
        <rFont val="宋体"/>
        <scheme val="minor"/>
      </rPr>
      <t>20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30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4</t>
    </r>
  </si>
  <si>
    <t>334.4 g/mol</t>
  </si>
  <si>
    <t>CCCCCCCCOC(=O)C1=CC=CC=C1C(=O)OCCCC</t>
  </si>
  <si>
    <t>Eciphin</t>
  </si>
  <si>
    <t>C[C@@H]([C@@H](C1=CC=CC=C1)O)NC</t>
  </si>
  <si>
    <t>MENTHOL</t>
  </si>
  <si>
    <r>
      <t>C</t>
    </r>
    <r>
      <rPr>
        <vertAlign val="subscript"/>
        <sz val="11"/>
        <color theme="1"/>
        <rFont val="宋体"/>
        <scheme val="minor"/>
      </rPr>
      <t>10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20</t>
    </r>
    <r>
      <rPr>
        <sz val="11"/>
        <color theme="1"/>
        <rFont val="宋体"/>
        <scheme val="minor"/>
      </rPr>
      <t>O</t>
    </r>
  </si>
  <si>
    <t>156.26 g/mol</t>
  </si>
  <si>
    <t>CC1CCC(C(C1)O)C(C)C</t>
  </si>
  <si>
    <t>p-coumaric acid</t>
  </si>
  <si>
    <r>
      <t>C</t>
    </r>
    <r>
      <rPr>
        <vertAlign val="subscript"/>
        <sz val="11"/>
        <color theme="1"/>
        <rFont val="宋体"/>
        <scheme val="minor"/>
      </rPr>
      <t>9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8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3</t>
    </r>
  </si>
  <si>
    <t>164.16 g/mol</t>
  </si>
  <si>
    <t>C1=CC(=CC=C1/C=C/C(=O)O)O</t>
  </si>
  <si>
    <t>o-Thymol</t>
  </si>
  <si>
    <t>CC1=C(C=C(C=C1)C(C)C)O</t>
  </si>
  <si>
    <t> 36%</t>
  </si>
  <si>
    <t>cis-Piperitol</t>
  </si>
  <si>
    <t>CC1=C[C@@H]([C@@H](CC1)C(C)C)O</t>
  </si>
  <si>
    <t>Butylacetat</t>
  </si>
  <si>
    <t>toluene</t>
  </si>
  <si>
    <r>
      <t>C</t>
    </r>
    <r>
      <rPr>
        <vertAlign val="subscript"/>
        <sz val="11"/>
        <color theme="1"/>
        <rFont val="宋体"/>
        <scheme val="minor"/>
      </rPr>
      <t>7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8</t>
    </r>
  </si>
  <si>
    <t>92.14 g/mol</t>
  </si>
  <si>
    <t>CC1=CC=CC=C1</t>
  </si>
  <si>
    <t>Cuminol</t>
  </si>
  <si>
    <t>CC(C)C1=CC=C(C=C1)CO</t>
  </si>
  <si>
    <t>panaxynol</t>
  </si>
  <si>
    <r>
      <t>C</t>
    </r>
    <r>
      <rPr>
        <vertAlign val="subscript"/>
        <sz val="11"/>
        <color theme="1"/>
        <rFont val="宋体"/>
        <scheme val="minor"/>
      </rPr>
      <t>17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24</t>
    </r>
    <r>
      <rPr>
        <sz val="11"/>
        <color theme="1"/>
        <rFont val="宋体"/>
        <scheme val="minor"/>
      </rPr>
      <t>O</t>
    </r>
  </si>
  <si>
    <t>244.37 g/mol</t>
  </si>
  <si>
    <t>CCCCCCC/C=C\CC#CC#C[C@@H](C=C)O</t>
  </si>
  <si>
    <t> 77%</t>
  </si>
  <si>
    <t>Mandenol</t>
  </si>
  <si>
    <r>
      <t>C</t>
    </r>
    <r>
      <rPr>
        <vertAlign val="subscript"/>
        <sz val="11"/>
        <color theme="1"/>
        <rFont val="宋体"/>
        <scheme val="minor"/>
      </rPr>
      <t>20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36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2</t>
    </r>
  </si>
  <si>
    <t>308.5 g/mol</t>
  </si>
  <si>
    <t>CCCCC/C=C\C/C=C\CCCCCCCC(=O)OCC</t>
  </si>
  <si>
    <t>EIC</t>
  </si>
  <si>
    <t>Heptan</t>
  </si>
  <si>
    <r>
      <t>C</t>
    </r>
    <r>
      <rPr>
        <vertAlign val="subscript"/>
        <sz val="11"/>
        <color theme="1"/>
        <rFont val="宋体"/>
        <scheme val="minor"/>
      </rPr>
      <t>7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16</t>
    </r>
  </si>
  <si>
    <t>100.20 g/mol</t>
  </si>
  <si>
    <t>CCCCCCC</t>
  </si>
  <si>
    <t>thymol</t>
  </si>
  <si>
    <t>CC1=CC(=C(C=C1)C(C)C)O</t>
  </si>
  <si>
    <t>Pectolinarigenin</t>
  </si>
  <si>
    <r>
      <t>C</t>
    </r>
    <r>
      <rPr>
        <vertAlign val="subscript"/>
        <sz val="11"/>
        <color theme="1"/>
        <rFont val="宋体"/>
        <scheme val="minor"/>
      </rPr>
      <t>17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14</t>
    </r>
    <r>
      <rPr>
        <sz val="11"/>
        <color theme="1"/>
        <rFont val="宋体"/>
        <scheme val="minor"/>
      </rPr>
      <t>O</t>
    </r>
    <r>
      <rPr>
        <vertAlign val="subscript"/>
        <sz val="11"/>
        <color theme="1"/>
        <rFont val="宋体"/>
        <scheme val="minor"/>
      </rPr>
      <t>6</t>
    </r>
  </si>
  <si>
    <t>314.29 g/mol</t>
  </si>
  <si>
    <t>COC1=CC=C(C=C1)C2=CC(=O)C3=C(O2)C=C(C(=C3O)OC)O</t>
  </si>
  <si>
    <t>(Z,Z)-farnesol</t>
  </si>
  <si>
    <r>
      <t>C</t>
    </r>
    <r>
      <rPr>
        <vertAlign val="subscript"/>
        <sz val="11"/>
        <color theme="1"/>
        <rFont val="宋体"/>
        <scheme val="minor"/>
      </rPr>
      <t>15</t>
    </r>
    <r>
      <rPr>
        <sz val="11"/>
        <color theme="1"/>
        <rFont val="宋体"/>
        <scheme val="minor"/>
      </rPr>
      <t>H</t>
    </r>
    <r>
      <rPr>
        <vertAlign val="subscript"/>
        <sz val="11"/>
        <color theme="1"/>
        <rFont val="宋体"/>
        <scheme val="minor"/>
      </rPr>
      <t>26</t>
    </r>
    <r>
      <rPr>
        <sz val="11"/>
        <color theme="1"/>
        <rFont val="宋体"/>
        <scheme val="minor"/>
      </rPr>
      <t>O</t>
    </r>
  </si>
  <si>
    <t>222.37 g/mol</t>
  </si>
  <si>
    <t>CC(=CCC/C(=C\CC/C(=C\CO)/C)/C)C</t>
  </si>
  <si>
    <t>1,3-p-Menthadien-7-al</t>
  </si>
  <si>
    <t>CC(C)C1=CC=C(CC1)C=O</t>
  </si>
  <si>
    <t>m-Methylacetophenone</t>
  </si>
  <si>
    <t>CC1=CC(=CC=C1)C(=O)C</t>
  </si>
  <si>
    <t>Trans-ionone</t>
  </si>
  <si>
    <t>nonanoic acid</t>
  </si>
  <si>
    <t>C9H18O2</t>
  </si>
  <si>
    <t>158.24 g/mol</t>
  </si>
  <si>
    <t>CCCCCCCCC(=O)O</t>
  </si>
  <si>
    <t> 42%</t>
  </si>
  <si>
    <t>3,7,1,5-tetramethyl-2-Hexadecen-1-ol</t>
    <phoneticPr fontId="4" type="noConversion"/>
  </si>
  <si>
    <t>O-benzoyl-L-(+)-pseudoephedrine</t>
    <phoneticPr fontId="4" type="noConversion"/>
  </si>
  <si>
    <t>names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</si>
  <si>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</si>
  <si>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</si>
  <si>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</si>
  <si>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(E,7S,11R)-3,7,11,15-tetramethylhexadec-2-en-1-ol</t>
    <phoneticPr fontId="4" type="noConversion"/>
  </si>
  <si>
    <t>(R)-()-3-Methylcyclopentanone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</si>
</sst>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scheme val="minor"/>
    </font>
    <font>
      <sz val="11"/>
      <color theme="1"/>
      <name val="宋体"/>
      <scheme val="minor"/>
    </font>
    <font>
      <vertAlign val="subscript"/>
      <sz val="11"/>
      <color theme="1"/>
      <name val="宋体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1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</cellXfs>
  <cellStyles count="1">
    <cellStyle name="常规" xfId="0" builtinId="0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6" Type="http://schemas.openxmlformats.org/officeDocument/2006/relationships/image" Target="media/image26.png"/><Relationship Id="rId89" Type="http://schemas.openxmlformats.org/officeDocument/2006/relationships/image" Target="media/image89.png"/><Relationship Id="rId84" Type="http://schemas.openxmlformats.org/officeDocument/2006/relationships/image" Target="media/image84.png"/><Relationship Id="rId68" Type="http://schemas.openxmlformats.org/officeDocument/2006/relationships/image" Target="media/image68.png"/><Relationship Id="rId63" Type="http://schemas.openxmlformats.org/officeDocument/2006/relationships/image" Target="media/image63.png"/><Relationship Id="rId47" Type="http://schemas.openxmlformats.org/officeDocument/2006/relationships/image" Target="media/image47.png"/><Relationship Id="rId42" Type="http://schemas.openxmlformats.org/officeDocument/2006/relationships/image" Target="media/image42.png"/><Relationship Id="rId21" Type="http://schemas.openxmlformats.org/officeDocument/2006/relationships/image" Target="media/image21.png"/><Relationship Id="rId16" Type="http://schemas.openxmlformats.org/officeDocument/2006/relationships/image" Target="media/image16.png"/><Relationship Id="rId79" Type="http://schemas.openxmlformats.org/officeDocument/2006/relationships/image" Target="media/image79.png"/><Relationship Id="rId74" Type="http://schemas.openxmlformats.org/officeDocument/2006/relationships/image" Target="media/image74.png"/><Relationship Id="rId58" Type="http://schemas.openxmlformats.org/officeDocument/2006/relationships/image" Target="media/image58.png"/><Relationship Id="rId53" Type="http://schemas.openxmlformats.org/officeDocument/2006/relationships/image" Target="media/image53.png"/><Relationship Id="rId37" Type="http://schemas.openxmlformats.org/officeDocument/2006/relationships/image" Target="media/image37.png"/><Relationship Id="rId32" Type="http://schemas.openxmlformats.org/officeDocument/2006/relationships/image" Target="media/image32.png"/><Relationship Id="rId11" Type="http://schemas.openxmlformats.org/officeDocument/2006/relationships/image" Target="media/image11.png"/><Relationship Id="rId95" Type="http://schemas.openxmlformats.org/officeDocument/2006/relationships/image" Target="media/image95.png"/><Relationship Id="rId90" Type="http://schemas.openxmlformats.org/officeDocument/2006/relationships/image" Target="media/image90.png"/><Relationship Id="rId5" Type="http://schemas.openxmlformats.org/officeDocument/2006/relationships/image" Target="media/image5.png"/><Relationship Id="rId69" Type="http://schemas.openxmlformats.org/officeDocument/2006/relationships/image" Target="media/image69.png"/><Relationship Id="rId64" Type="http://schemas.openxmlformats.org/officeDocument/2006/relationships/image" Target="media/image64.png"/><Relationship Id="rId48" Type="http://schemas.openxmlformats.org/officeDocument/2006/relationships/image" Target="media/image48.png"/><Relationship Id="rId43" Type="http://schemas.openxmlformats.org/officeDocument/2006/relationships/image" Target="media/image43.png"/><Relationship Id="rId27" Type="http://schemas.openxmlformats.org/officeDocument/2006/relationships/image" Target="media/image27.png"/><Relationship Id="rId22" Type="http://schemas.openxmlformats.org/officeDocument/2006/relationships/image" Target="media/image22.png"/><Relationship Id="rId85" Type="http://schemas.openxmlformats.org/officeDocument/2006/relationships/image" Target="media/image85.png"/><Relationship Id="rId80" Type="http://schemas.openxmlformats.org/officeDocument/2006/relationships/image" Target="media/image80.png"/><Relationship Id="rId3" Type="http://schemas.openxmlformats.org/officeDocument/2006/relationships/image" Target="media/image3.png"/><Relationship Id="rId67" Type="http://schemas.openxmlformats.org/officeDocument/2006/relationships/image" Target="media/image67.png"/><Relationship Id="rId59" Type="http://schemas.openxmlformats.org/officeDocument/2006/relationships/image" Target="media/image59.png"/><Relationship Id="rId46" Type="http://schemas.openxmlformats.org/officeDocument/2006/relationships/image" Target="media/image46.png"/><Relationship Id="rId38" Type="http://schemas.openxmlformats.org/officeDocument/2006/relationships/image" Target="media/image38.png"/><Relationship Id="rId33" Type="http://schemas.openxmlformats.org/officeDocument/2006/relationships/image" Target="media/image33.png"/><Relationship Id="rId25" Type="http://schemas.openxmlformats.org/officeDocument/2006/relationships/image" Target="media/image25.png"/><Relationship Id="rId17" Type="http://schemas.openxmlformats.org/officeDocument/2006/relationships/image" Target="media/image17.png"/><Relationship Id="rId12" Type="http://schemas.openxmlformats.org/officeDocument/2006/relationships/image" Target="media/image12.png"/><Relationship Id="rId96" Type="http://schemas.openxmlformats.org/officeDocument/2006/relationships/image" Target="media/image96.png"/><Relationship Id="rId91" Type="http://schemas.openxmlformats.org/officeDocument/2006/relationships/image" Target="media/image91.png"/><Relationship Id="rId88" Type="http://schemas.openxmlformats.org/officeDocument/2006/relationships/image" Target="media/image88.png"/><Relationship Id="rId83" Type="http://schemas.openxmlformats.org/officeDocument/2006/relationships/image" Target="media/image83.png"/><Relationship Id="rId75" Type="http://schemas.openxmlformats.org/officeDocument/2006/relationships/image" Target="media/image75.png"/><Relationship Id="rId70" Type="http://schemas.openxmlformats.org/officeDocument/2006/relationships/image" Target="media/image70.png"/><Relationship Id="rId62" Type="http://schemas.openxmlformats.org/officeDocument/2006/relationships/image" Target="media/image62.png"/><Relationship Id="rId54" Type="http://schemas.openxmlformats.org/officeDocument/2006/relationships/image" Target="media/image54.png"/><Relationship Id="rId41" Type="http://schemas.openxmlformats.org/officeDocument/2006/relationships/image" Target="media/image41.png"/><Relationship Id="rId20" Type="http://schemas.openxmlformats.org/officeDocument/2006/relationships/image" Target="media/image20.png"/><Relationship Id="rId6" Type="http://schemas.openxmlformats.org/officeDocument/2006/relationships/image" Target="media/image6.png"/><Relationship Id="rId1" Type="http://schemas.openxmlformats.org/officeDocument/2006/relationships/image" Target="media/image1.png"/><Relationship Id="rId57" Type="http://schemas.openxmlformats.org/officeDocument/2006/relationships/image" Target="media/image57.png"/><Relationship Id="rId49" Type="http://schemas.openxmlformats.org/officeDocument/2006/relationships/image" Target="media/image49.png"/><Relationship Id="rId36" Type="http://schemas.openxmlformats.org/officeDocument/2006/relationships/image" Target="media/image36.pn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5" Type="http://schemas.openxmlformats.org/officeDocument/2006/relationships/image" Target="media/image15.png"/><Relationship Id="rId94" Type="http://schemas.openxmlformats.org/officeDocument/2006/relationships/image" Target="media/image94.png"/><Relationship Id="rId86" Type="http://schemas.openxmlformats.org/officeDocument/2006/relationships/image" Target="media/image86.png"/><Relationship Id="rId81" Type="http://schemas.openxmlformats.org/officeDocument/2006/relationships/image" Target="media/image81.png"/><Relationship Id="rId78" Type="http://schemas.openxmlformats.org/officeDocument/2006/relationships/image" Target="media/image78.png"/><Relationship Id="rId73" Type="http://schemas.openxmlformats.org/officeDocument/2006/relationships/image" Target="media/image73.png"/><Relationship Id="rId65" Type="http://schemas.openxmlformats.org/officeDocument/2006/relationships/image" Target="media/image65.png"/><Relationship Id="rId60" Type="http://schemas.openxmlformats.org/officeDocument/2006/relationships/image" Target="media/image60.png"/><Relationship Id="rId52" Type="http://schemas.openxmlformats.org/officeDocument/2006/relationships/image" Target="media/image52.png"/><Relationship Id="rId44" Type="http://schemas.openxmlformats.org/officeDocument/2006/relationships/image" Target="media/image44.png"/><Relationship Id="rId31" Type="http://schemas.openxmlformats.org/officeDocument/2006/relationships/image" Target="media/image31.png"/><Relationship Id="rId10" Type="http://schemas.openxmlformats.org/officeDocument/2006/relationships/image" Target="media/image10.png"/><Relationship Id="rId9" Type="http://schemas.openxmlformats.org/officeDocument/2006/relationships/image" Target="media/image9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18" Type="http://schemas.openxmlformats.org/officeDocument/2006/relationships/image" Target="media/image18.png"/><Relationship Id="rId13" Type="http://schemas.openxmlformats.org/officeDocument/2006/relationships/image" Target="media/image13.png"/><Relationship Id="rId97" Type="http://schemas.openxmlformats.org/officeDocument/2006/relationships/image" Target="media/image97.png"/><Relationship Id="rId76" Type="http://schemas.openxmlformats.org/officeDocument/2006/relationships/image" Target="media/image76.png"/><Relationship Id="rId55" Type="http://schemas.openxmlformats.org/officeDocument/2006/relationships/image" Target="media/image55.png"/><Relationship Id="rId50" Type="http://schemas.openxmlformats.org/officeDocument/2006/relationships/image" Target="media/image50.png"/><Relationship Id="rId34" Type="http://schemas.openxmlformats.org/officeDocument/2006/relationships/image" Target="media/image34.png"/><Relationship Id="rId92" Type="http://schemas.openxmlformats.org/officeDocument/2006/relationships/image" Target="media/image92.png"/><Relationship Id="rId71" Type="http://schemas.openxmlformats.org/officeDocument/2006/relationships/image" Target="media/image71.png"/><Relationship Id="rId7" Type="http://schemas.openxmlformats.org/officeDocument/2006/relationships/image" Target="media/image7.png"/><Relationship Id="rId29" Type="http://schemas.openxmlformats.org/officeDocument/2006/relationships/image" Target="media/image29.png"/><Relationship Id="rId2" Type="http://schemas.openxmlformats.org/officeDocument/2006/relationships/image" Target="media/image2.png"/><Relationship Id="rId87" Type="http://schemas.openxmlformats.org/officeDocument/2006/relationships/image" Target="media/image87.png"/><Relationship Id="rId66" Type="http://schemas.openxmlformats.org/officeDocument/2006/relationships/image" Target="media/image66.png"/><Relationship Id="rId45" Type="http://schemas.openxmlformats.org/officeDocument/2006/relationships/image" Target="media/image45.png"/><Relationship Id="rId40" Type="http://schemas.openxmlformats.org/officeDocument/2006/relationships/image" Target="media/image40.png"/><Relationship Id="rId24" Type="http://schemas.openxmlformats.org/officeDocument/2006/relationships/image" Target="media/image24.png"/><Relationship Id="rId82" Type="http://schemas.openxmlformats.org/officeDocument/2006/relationships/image" Target="media/image82.png"/><Relationship Id="rId61" Type="http://schemas.openxmlformats.org/officeDocument/2006/relationships/image" Target="media/image61.png"/><Relationship Id="rId19" Type="http://schemas.openxmlformats.org/officeDocument/2006/relationships/image" Target="media/image19.png"/><Relationship Id="rId77" Type="http://schemas.openxmlformats.org/officeDocument/2006/relationships/image" Target="media/image77.png"/><Relationship Id="rId56" Type="http://schemas.openxmlformats.org/officeDocument/2006/relationships/image" Target="media/image56.png"/><Relationship Id="rId35" Type="http://schemas.openxmlformats.org/officeDocument/2006/relationships/image" Target="media/image35.png"/><Relationship Id="rId30" Type="http://schemas.openxmlformats.org/officeDocument/2006/relationships/image" Target="media/image30.png"/><Relationship Id="rId14" Type="http://schemas.openxmlformats.org/officeDocument/2006/relationships/image" Target="media/image14.png"/><Relationship Id="rId98" Type="http://schemas.openxmlformats.org/officeDocument/2006/relationships/image" Target="media/image98.png"/><Relationship Id="rId93" Type="http://schemas.openxmlformats.org/officeDocument/2006/relationships/image" Target="media/image93.png"/><Relationship Id="rId8" Type="http://schemas.openxmlformats.org/officeDocument/2006/relationships/image" Target="media/image8.png"/><Relationship Id="rId72" Type="http://schemas.openxmlformats.org/officeDocument/2006/relationships/image" Target="media/image72.png"/><Relationship Id="rId51" Type="http://schemas.openxmlformats.org/officeDocument/2006/relationships/image" Target="media/image51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cellimag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chem.ncbi.nlm.nih.gov/" TargetMode="External"/><Relationship Id="rId13" Type="http://schemas.openxmlformats.org/officeDocument/2006/relationships/hyperlink" Target="https://pubchem.ncbi.nlm.nih.gov/" TargetMode="External"/><Relationship Id="rId3" Type="http://schemas.openxmlformats.org/officeDocument/2006/relationships/hyperlink" Target="https://pubchem.ncbi.nlm.nih.gov/" TargetMode="External"/><Relationship Id="rId7" Type="http://schemas.openxmlformats.org/officeDocument/2006/relationships/hyperlink" Target="https://pubchem.ncbi.nlm.nih.gov/" TargetMode="External"/><Relationship Id="rId12" Type="http://schemas.openxmlformats.org/officeDocument/2006/relationships/hyperlink" Target="https://pubchem.ncbi.nlm.nih.gov/" TargetMode="External"/><Relationship Id="rId2" Type="http://schemas.openxmlformats.org/officeDocument/2006/relationships/hyperlink" Target="https://pubchem.ncbi.nlm.nih.gov/" TargetMode="External"/><Relationship Id="rId1" Type="http://schemas.openxmlformats.org/officeDocument/2006/relationships/hyperlink" Target="https://pubchem.ncbi.nlm.nih.gov/" TargetMode="External"/><Relationship Id="rId6" Type="http://schemas.openxmlformats.org/officeDocument/2006/relationships/hyperlink" Target="https://pubchem.ncbi.nlm.nih.gov/" TargetMode="External"/><Relationship Id="rId11" Type="http://schemas.openxmlformats.org/officeDocument/2006/relationships/hyperlink" Target="https://pubchem.ncbi.nlm.nih.gov/" TargetMode="External"/><Relationship Id="rId5" Type="http://schemas.openxmlformats.org/officeDocument/2006/relationships/hyperlink" Target="https://pubchem.ncbi.nlm.nih.gov/" TargetMode="External"/><Relationship Id="rId10" Type="http://schemas.openxmlformats.org/officeDocument/2006/relationships/hyperlink" Target="https://pubchem.ncbi.nlm.nih.gov/" TargetMode="External"/><Relationship Id="rId4" Type="http://schemas.openxmlformats.org/officeDocument/2006/relationships/hyperlink" Target="https://pubchem.ncbi.nlm.nih.gov/" TargetMode="External"/><Relationship Id="rId9" Type="http://schemas.openxmlformats.org/officeDocument/2006/relationships/hyperlink" Target="https://pubchem.ncbi.nlm.nih.gov/" TargetMode="External"/><Relationship Id="rId14" Type="http://schemas.openxmlformats.org/officeDocument/2006/relationships/hyperlink" Target="https://pubchem.ncbi.nlm.nih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zoomScale="115" zoomScaleNormal="115" workbookViewId="0">
      <selection sqref="A1:A1048576"/>
    </sheetView>
  </sheetViews>
  <sheetFormatPr defaultColWidth="8.69140625" defaultRowHeight="14.15" x14ac:dyDescent="0.3"/>
  <cols>
    <col min="1" max="1" width="30.84375" customWidth="1"/>
    <col min="2" max="3" width="17" customWidth="1"/>
    <col min="4" max="4" width="24.07421875" customWidth="1"/>
    <col min="5" max="5" width="8.61328125" customWidth="1"/>
    <col min="6" max="6" width="9.07421875" customWidth="1"/>
    <col min="7" max="7" width="8.53515625" customWidth="1"/>
    <col min="8" max="8" width="8.4609375" customWidth="1"/>
    <col min="9" max="9" width="13.61328125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3">
      <c r="A2" s="2" t="s">
        <v>8</v>
      </c>
      <c r="B2" s="3" t="s">
        <v>9</v>
      </c>
      <c r="C2" s="1" t="s">
        <v>10</v>
      </c>
      <c r="D2" s="1" t="s">
        <v>11</v>
      </c>
      <c r="E2" s="1"/>
      <c r="F2" s="1"/>
      <c r="G2" s="1"/>
      <c r="H2" s="1"/>
      <c r="I2" s="1"/>
    </row>
    <row r="3" spans="1:9" ht="28.3" x14ac:dyDescent="0.3">
      <c r="A3" s="8" t="s">
        <v>464</v>
      </c>
      <c r="B3" s="1"/>
      <c r="C3" s="1"/>
      <c r="D3" s="1"/>
      <c r="E3" s="1"/>
      <c r="F3" s="1"/>
      <c r="G3" s="1"/>
      <c r="H3" s="1"/>
      <c r="I3" s="1"/>
    </row>
    <row r="4" spans="1:9" ht="28.3" x14ac:dyDescent="0.3">
      <c r="A4" s="8" t="s">
        <v>465</v>
      </c>
      <c r="B4" s="1"/>
      <c r="C4" s="1"/>
      <c r="D4" s="1"/>
      <c r="E4" s="1"/>
      <c r="F4" s="1"/>
      <c r="G4" s="1"/>
      <c r="H4" s="1"/>
      <c r="I4" s="1"/>
    </row>
    <row r="5" spans="1:9" x14ac:dyDescent="0.3">
      <c r="A5" s="2" t="s">
        <v>12</v>
      </c>
      <c r="B5" s="1"/>
      <c r="C5" s="1"/>
      <c r="D5" s="1"/>
      <c r="E5" s="1"/>
      <c r="F5" s="1"/>
      <c r="G5" s="1"/>
      <c r="H5" s="1"/>
      <c r="I5" s="1"/>
    </row>
    <row r="6" spans="1:9" ht="42.45" x14ac:dyDescent="0.3">
      <c r="A6" s="2" t="s">
        <v>13</v>
      </c>
      <c r="B6" s="3" t="s">
        <v>14</v>
      </c>
      <c r="C6" s="1" t="s">
        <v>15</v>
      </c>
      <c r="D6" s="3" t="s">
        <v>16</v>
      </c>
      <c r="E6" s="4">
        <v>0.95</v>
      </c>
      <c r="F6" s="5">
        <v>0.03</v>
      </c>
      <c r="G6" s="1" t="s">
        <v>17</v>
      </c>
      <c r="H6" s="5">
        <v>0</v>
      </c>
      <c r="I6" s="1" t="str">
        <f>_xlfn.DISPIMG("ID_D59B17D248B54190853AFA7D59C569E2",1)</f>
        <v>=DISPIMG("ID_D59B17D248B54190853AFA7D59C569E2",1)</v>
      </c>
    </row>
    <row r="7" spans="1:9" ht="42.45" x14ac:dyDescent="0.3">
      <c r="A7" s="2" t="s">
        <v>18</v>
      </c>
      <c r="B7" s="3" t="s">
        <v>19</v>
      </c>
      <c r="C7" s="1" t="s">
        <v>20</v>
      </c>
      <c r="D7" s="3" t="s">
        <v>21</v>
      </c>
      <c r="E7" s="4">
        <v>0.98</v>
      </c>
      <c r="F7" s="5">
        <v>0.01</v>
      </c>
      <c r="G7" s="5">
        <v>0.01</v>
      </c>
      <c r="H7" s="5">
        <v>0</v>
      </c>
      <c r="I7" s="1" t="str">
        <f>_xlfn.DISPIMG("ID_B06C942C267D4CD3ADF00BC575F21567",1)</f>
        <v>=DISPIMG("ID_B06C942C267D4CD3ADF00BC575F21567",1)</v>
      </c>
    </row>
    <row r="8" spans="1:9" ht="28.3" x14ac:dyDescent="0.3">
      <c r="A8" s="2" t="s">
        <v>22</v>
      </c>
      <c r="B8" s="1" t="s">
        <v>23</v>
      </c>
      <c r="C8" s="1" t="s">
        <v>24</v>
      </c>
      <c r="D8" s="3" t="s">
        <v>25</v>
      </c>
      <c r="E8" s="4">
        <v>0.43</v>
      </c>
      <c r="F8" s="5">
        <v>0.23</v>
      </c>
      <c r="G8" s="5">
        <v>0.27</v>
      </c>
      <c r="H8" s="5">
        <v>0.06</v>
      </c>
      <c r="I8" s="1" t="str">
        <f>_xlfn.DISPIMG("ID_9BBF8B648F3C4987B3460AE39830DF7A",1)</f>
        <v>=DISPIMG("ID_9BBF8B648F3C4987B3460AE39830DF7A",1)</v>
      </c>
    </row>
    <row r="9" spans="1:9" ht="42.45" x14ac:dyDescent="0.3">
      <c r="A9" s="8" t="s">
        <v>470</v>
      </c>
      <c r="B9" s="3" t="s">
        <v>26</v>
      </c>
      <c r="C9" s="1" t="s">
        <v>27</v>
      </c>
      <c r="D9" s="3" t="s">
        <v>28</v>
      </c>
      <c r="E9" s="5">
        <v>0.31</v>
      </c>
      <c r="F9" s="4">
        <v>0.56999999999999995</v>
      </c>
      <c r="G9" s="5">
        <v>0.09</v>
      </c>
      <c r="H9" s="5">
        <v>0.03</v>
      </c>
      <c r="I9" s="1" t="str">
        <f>_xlfn.DISPIMG("ID_6037CE594AC2447C95D0A5545EF3C6EA",1)</f>
        <v>=DISPIMG("ID_6037CE594AC2447C95D0A5545EF3C6EA",1)</v>
      </c>
    </row>
    <row r="10" spans="1:9" ht="42.45" x14ac:dyDescent="0.3">
      <c r="A10" s="2" t="s">
        <v>29</v>
      </c>
      <c r="B10" s="3" t="s">
        <v>30</v>
      </c>
      <c r="C10" s="1" t="s">
        <v>31</v>
      </c>
      <c r="D10" s="3" t="s">
        <v>32</v>
      </c>
      <c r="E10" s="4">
        <v>0.94</v>
      </c>
      <c r="F10" s="5">
        <v>0.04</v>
      </c>
      <c r="G10" s="5">
        <v>0.02</v>
      </c>
      <c r="H10" s="5">
        <v>0</v>
      </c>
      <c r="I10" s="1" t="str">
        <f>_xlfn.DISPIMG("ID_B28E9B38DB6B49E18DFD1CD0BDEA852F",1)</f>
        <v>=DISPIMG("ID_B28E9B38DB6B49E18DFD1CD0BDEA852F",1)</v>
      </c>
    </row>
    <row r="11" spans="1:9" ht="28.3" x14ac:dyDescent="0.3">
      <c r="A11" s="2" t="s">
        <v>33</v>
      </c>
      <c r="B11" s="3" t="s">
        <v>34</v>
      </c>
      <c r="C11" s="1" t="s">
        <v>35</v>
      </c>
      <c r="D11" s="3" t="s">
        <v>36</v>
      </c>
      <c r="E11" s="4">
        <v>0.52</v>
      </c>
      <c r="F11" s="5">
        <v>0.15</v>
      </c>
      <c r="G11" s="1" t="s">
        <v>37</v>
      </c>
      <c r="H11" s="5">
        <v>0.24</v>
      </c>
      <c r="I11" s="1" t="str">
        <f>_xlfn.DISPIMG("ID_54A0FE2D568B4286A14F817CB9288B2D",1)</f>
        <v>=DISPIMG("ID_54A0FE2D568B4286A14F817CB9288B2D",1)</v>
      </c>
    </row>
    <row r="12" spans="1:9" x14ac:dyDescent="0.3">
      <c r="A12" s="2" t="s">
        <v>38</v>
      </c>
      <c r="B12" s="1"/>
      <c r="C12" s="1"/>
      <c r="D12" s="1"/>
      <c r="E12" s="1"/>
      <c r="F12" s="1"/>
      <c r="G12" s="1"/>
      <c r="H12" s="1"/>
      <c r="I12" s="1"/>
    </row>
    <row r="13" spans="1:9" ht="28.3" x14ac:dyDescent="0.3">
      <c r="A13" s="2" t="s">
        <v>39</v>
      </c>
      <c r="B13" s="3" t="s">
        <v>40</v>
      </c>
      <c r="C13" s="1" t="s">
        <v>41</v>
      </c>
      <c r="D13" s="3" t="s">
        <v>42</v>
      </c>
      <c r="E13" s="5">
        <v>0.28999999999999998</v>
      </c>
      <c r="F13" s="4">
        <v>0.69</v>
      </c>
      <c r="G13" s="5">
        <v>0.01</v>
      </c>
      <c r="H13" s="5">
        <v>0</v>
      </c>
      <c r="I13" s="1" t="str">
        <f>_xlfn.DISPIMG("ID_5D14A585A62E46DC8301DA5DC017E35C",1)</f>
        <v>=DISPIMG("ID_5D14A585A62E46DC8301DA5DC017E35C",1)</v>
      </c>
    </row>
    <row r="14" spans="1:9" ht="42.45" x14ac:dyDescent="0.3">
      <c r="A14" s="2" t="s">
        <v>43</v>
      </c>
      <c r="B14" s="3" t="s">
        <v>14</v>
      </c>
      <c r="C14" s="1" t="s">
        <v>15</v>
      </c>
      <c r="D14" s="3" t="s">
        <v>44</v>
      </c>
      <c r="E14" s="6" t="s">
        <v>45</v>
      </c>
      <c r="F14" s="1" t="s">
        <v>46</v>
      </c>
      <c r="G14" s="1" t="s">
        <v>46</v>
      </c>
      <c r="H14" s="1" t="s">
        <v>47</v>
      </c>
      <c r="I14" s="1" t="str">
        <f>_xlfn.DISPIMG("ID_71E799AB50A543F7A3E7183ADB4F1E5B",1)</f>
        <v>=DISPIMG("ID_71E799AB50A543F7A3E7183ADB4F1E5B",1)</v>
      </c>
    </row>
    <row r="15" spans="1:9" ht="42.45" x14ac:dyDescent="0.3">
      <c r="A15" s="2" t="s">
        <v>48</v>
      </c>
      <c r="B15" s="3" t="s">
        <v>19</v>
      </c>
      <c r="C15" s="1" t="s">
        <v>20</v>
      </c>
      <c r="D15" s="3" t="s">
        <v>49</v>
      </c>
      <c r="E15" s="6" t="s">
        <v>50</v>
      </c>
      <c r="F15" s="5">
        <v>0.04</v>
      </c>
      <c r="G15" s="5">
        <v>0.01</v>
      </c>
      <c r="H15" s="5">
        <v>0</v>
      </c>
      <c r="I15" s="1" t="str">
        <f>_xlfn.DISPIMG("ID_1C6BC3FAE09E492F91C5F1B1D2ECB6F8",1)</f>
        <v>=DISPIMG("ID_1C6BC3FAE09E492F91C5F1B1D2ECB6F8",1)</v>
      </c>
    </row>
    <row r="16" spans="1:9" ht="70.75" x14ac:dyDescent="0.3">
      <c r="A16" s="2" t="s">
        <v>51</v>
      </c>
      <c r="B16" s="3" t="s">
        <v>52</v>
      </c>
      <c r="C16" s="1" t="s">
        <v>53</v>
      </c>
      <c r="D16" s="3" t="s">
        <v>54</v>
      </c>
      <c r="E16" s="5">
        <v>0.38</v>
      </c>
      <c r="F16" s="5">
        <v>0.08</v>
      </c>
      <c r="G16" s="4">
        <v>0.47</v>
      </c>
      <c r="H16" s="5">
        <v>0.06</v>
      </c>
      <c r="I16" s="1" t="str">
        <f>_xlfn.DISPIMG("ID_A2D06C433DE7415583CDCF720C629313",1)</f>
        <v>=DISPIMG("ID_A2D06C433DE7415583CDCF720C629313",1)</v>
      </c>
    </row>
    <row r="17" spans="1:9" ht="42.45" x14ac:dyDescent="0.3">
      <c r="A17" s="2" t="s">
        <v>55</v>
      </c>
      <c r="B17" s="3" t="s">
        <v>56</v>
      </c>
      <c r="C17" s="1" t="s">
        <v>57</v>
      </c>
      <c r="D17" s="3" t="s">
        <v>58</v>
      </c>
      <c r="E17" s="4">
        <v>0.82</v>
      </c>
      <c r="F17" s="5">
        <v>0.14000000000000001</v>
      </c>
      <c r="G17" s="5">
        <v>0.03</v>
      </c>
      <c r="H17" s="5">
        <v>0.01</v>
      </c>
      <c r="I17" s="1" t="str">
        <f>_xlfn.DISPIMG("ID_18D921D99EC545869AEFF4CB7246EE4F",1)</f>
        <v>=DISPIMG("ID_18D921D99EC545869AEFF4CB7246EE4F",1)</v>
      </c>
    </row>
    <row r="18" spans="1:9" ht="28.3" x14ac:dyDescent="0.3">
      <c r="A18" s="2" t="s">
        <v>59</v>
      </c>
      <c r="B18" s="3" t="s">
        <v>60</v>
      </c>
      <c r="C18" s="1" t="s">
        <v>61</v>
      </c>
      <c r="D18" s="3" t="s">
        <v>62</v>
      </c>
      <c r="E18" s="6" t="s">
        <v>63</v>
      </c>
      <c r="F18" s="5">
        <v>0.17</v>
      </c>
      <c r="G18" s="5">
        <v>0.25</v>
      </c>
      <c r="H18" s="5">
        <v>0.06</v>
      </c>
      <c r="I18" s="1" t="str">
        <f>_xlfn.DISPIMG("ID_55A2DD02A8D040A4A7438B935E22F90A",1)</f>
        <v>=DISPIMG("ID_55A2DD02A8D040A4A7438B935E22F90A",1)</v>
      </c>
    </row>
    <row r="19" spans="1:9" ht="16.75" x14ac:dyDescent="0.3">
      <c r="A19" s="10" t="s">
        <v>64</v>
      </c>
      <c r="B19" s="1" t="s">
        <v>65</v>
      </c>
      <c r="C19" s="1" t="s">
        <v>66</v>
      </c>
      <c r="D19" s="1" t="s">
        <v>67</v>
      </c>
      <c r="E19" s="1" t="s">
        <v>68</v>
      </c>
      <c r="F19" s="4">
        <v>0.76</v>
      </c>
      <c r="G19" s="1" t="s">
        <v>47</v>
      </c>
      <c r="H19" s="1" t="s">
        <v>47</v>
      </c>
      <c r="I19" s="1" t="str">
        <f>_xlfn.DISPIMG("ID_942CD6B66E134344967586FFBD4BAC5E",1)</f>
        <v>=DISPIMG("ID_942CD6B66E134344967586FFBD4BAC5E",1)</v>
      </c>
    </row>
    <row r="20" spans="1:9" ht="16.75" x14ac:dyDescent="0.3">
      <c r="A20" s="11" t="s">
        <v>471</v>
      </c>
      <c r="B20" s="1" t="s">
        <v>69</v>
      </c>
      <c r="C20" s="1" t="s">
        <v>70</v>
      </c>
      <c r="D20" s="1" t="s">
        <v>71</v>
      </c>
      <c r="E20" s="1"/>
      <c r="F20" s="1"/>
      <c r="G20" s="1"/>
      <c r="H20" s="1"/>
      <c r="I20" s="1"/>
    </row>
    <row r="21" spans="1:9" x14ac:dyDescent="0.3">
      <c r="A21" s="10" t="s">
        <v>72</v>
      </c>
      <c r="B21" s="1"/>
      <c r="C21" s="1"/>
      <c r="D21" s="1"/>
      <c r="E21" s="1"/>
      <c r="F21" s="1"/>
      <c r="G21" s="1"/>
      <c r="H21" s="1"/>
      <c r="I21" s="1"/>
    </row>
    <row r="22" spans="1:9" ht="16.75" x14ac:dyDescent="0.3">
      <c r="A22" s="10" t="s">
        <v>73</v>
      </c>
      <c r="B22" s="1" t="s">
        <v>74</v>
      </c>
      <c r="C22" s="1" t="s">
        <v>75</v>
      </c>
      <c r="D22" s="1" t="s">
        <v>76</v>
      </c>
      <c r="E22" s="1"/>
      <c r="F22" s="1"/>
      <c r="G22" s="1"/>
      <c r="H22" s="1"/>
      <c r="I22" s="1"/>
    </row>
    <row r="23" spans="1:9" x14ac:dyDescent="0.3">
      <c r="A23" s="10" t="s">
        <v>77</v>
      </c>
      <c r="B23" s="1"/>
      <c r="C23" s="1"/>
      <c r="D23" s="1"/>
      <c r="E23" s="1"/>
      <c r="F23" s="1"/>
      <c r="G23" s="1"/>
      <c r="H23" s="1"/>
      <c r="I23" s="1"/>
    </row>
    <row r="24" spans="1:9" ht="16.75" x14ac:dyDescent="0.3">
      <c r="A24" s="10" t="s">
        <v>78</v>
      </c>
      <c r="B24" s="1" t="s">
        <v>79</v>
      </c>
      <c r="C24" s="1" t="s">
        <v>80</v>
      </c>
      <c r="D24" s="1" t="s">
        <v>81</v>
      </c>
      <c r="E24" s="4">
        <v>0.49</v>
      </c>
      <c r="F24" s="5">
        <v>0.13</v>
      </c>
      <c r="G24" s="5">
        <v>0.32</v>
      </c>
      <c r="H24" s="5">
        <v>0.06</v>
      </c>
      <c r="I24" s="1" t="str">
        <f>_xlfn.DISPIMG("ID_3A06A668362D4CF7B1F0E9C38312D4FC",1)</f>
        <v>=DISPIMG("ID_3A06A668362D4CF7B1F0E9C38312D4FC",1)</v>
      </c>
    </row>
    <row r="25" spans="1:9" x14ac:dyDescent="0.3">
      <c r="A25" s="10" t="s">
        <v>82</v>
      </c>
      <c r="B25" s="1"/>
      <c r="C25" s="1"/>
      <c r="D25" s="1"/>
      <c r="E25" s="1"/>
      <c r="F25" s="1"/>
      <c r="G25" s="1"/>
      <c r="H25" s="1"/>
      <c r="I25" s="1"/>
    </row>
    <row r="26" spans="1:9" ht="16.75" x14ac:dyDescent="0.3">
      <c r="A26" s="10" t="s">
        <v>83</v>
      </c>
      <c r="B26" s="1" t="s">
        <v>84</v>
      </c>
      <c r="C26" s="1" t="s">
        <v>85</v>
      </c>
      <c r="D26" s="1" t="s">
        <v>86</v>
      </c>
      <c r="E26" s="1"/>
      <c r="F26" s="1"/>
      <c r="G26" s="1"/>
      <c r="H26" s="1"/>
      <c r="I26" s="1"/>
    </row>
    <row r="27" spans="1:9" ht="16.75" x14ac:dyDescent="0.3">
      <c r="A27" s="10" t="s">
        <v>87</v>
      </c>
      <c r="B27" s="1" t="s">
        <v>74</v>
      </c>
      <c r="C27" s="1" t="s">
        <v>75</v>
      </c>
      <c r="D27" s="1" t="s">
        <v>88</v>
      </c>
      <c r="E27" s="5">
        <v>0.32</v>
      </c>
      <c r="F27" s="4">
        <v>0.62</v>
      </c>
      <c r="G27" s="5">
        <v>0.06</v>
      </c>
      <c r="H27" s="5">
        <v>0</v>
      </c>
      <c r="I27" s="1" t="str">
        <f>_xlfn.DISPIMG("ID_EE65592DF8434488A9FD2A85F8F2DD19",1)</f>
        <v>=DISPIMG("ID_EE65592DF8434488A9FD2A85F8F2DD19",1)</v>
      </c>
    </row>
    <row r="28" spans="1:9" ht="16.75" x14ac:dyDescent="0.3">
      <c r="A28" s="10" t="s">
        <v>89</v>
      </c>
      <c r="B28" s="1" t="s">
        <v>90</v>
      </c>
      <c r="C28" s="1" t="s">
        <v>91</v>
      </c>
      <c r="D28" s="1" t="s">
        <v>92</v>
      </c>
      <c r="E28" s="5">
        <v>0.28000000000000003</v>
      </c>
      <c r="F28" s="4">
        <v>0.55000000000000004</v>
      </c>
      <c r="G28" s="5">
        <v>0.12</v>
      </c>
      <c r="H28" s="5">
        <v>0.05</v>
      </c>
      <c r="I28" s="1" t="str">
        <f>_xlfn.DISPIMG("ID_F07B3285CB4E492EA7C2488D87088DEF",1)</f>
        <v>=DISPIMG("ID_F07B3285CB4E492EA7C2488D87088DEF",1)</v>
      </c>
    </row>
    <row r="29" spans="1:9" ht="16.75" x14ac:dyDescent="0.3">
      <c r="A29" s="10" t="s">
        <v>93</v>
      </c>
      <c r="B29" s="1" t="s">
        <v>94</v>
      </c>
      <c r="C29" s="1" t="s">
        <v>95</v>
      </c>
      <c r="D29" s="1" t="s">
        <v>96</v>
      </c>
      <c r="E29" s="1"/>
      <c r="F29" s="1"/>
      <c r="G29" s="1"/>
      <c r="H29" s="1"/>
      <c r="I29" s="1"/>
    </row>
    <row r="30" spans="1:9" ht="16.75" x14ac:dyDescent="0.3">
      <c r="A30" s="10" t="s">
        <v>97</v>
      </c>
      <c r="B30" s="1" t="s">
        <v>98</v>
      </c>
      <c r="C30" s="1" t="s">
        <v>99</v>
      </c>
      <c r="D30" s="1" t="s">
        <v>100</v>
      </c>
      <c r="E30" s="1"/>
      <c r="F30" s="1"/>
      <c r="G30" s="1"/>
      <c r="H30" s="1"/>
      <c r="I30" s="1"/>
    </row>
    <row r="31" spans="1:9" x14ac:dyDescent="0.3">
      <c r="A31" s="10" t="s">
        <v>101</v>
      </c>
      <c r="B31" s="1"/>
      <c r="C31" s="1"/>
      <c r="D31" s="1"/>
      <c r="E31" s="1"/>
      <c r="F31" s="1"/>
      <c r="G31" s="1"/>
      <c r="H31" s="1"/>
      <c r="I31" s="1"/>
    </row>
    <row r="32" spans="1:9" ht="16.75" x14ac:dyDescent="0.3">
      <c r="A32" s="10" t="s">
        <v>102</v>
      </c>
      <c r="B32" s="1" t="s">
        <v>103</v>
      </c>
      <c r="C32" s="1" t="s">
        <v>104</v>
      </c>
      <c r="D32" s="1" t="s">
        <v>105</v>
      </c>
      <c r="E32" s="1"/>
      <c r="F32" s="1"/>
      <c r="G32" s="1"/>
      <c r="H32" s="1"/>
      <c r="I32" s="1"/>
    </row>
    <row r="33" spans="1:9" x14ac:dyDescent="0.3">
      <c r="A33" s="10" t="s">
        <v>106</v>
      </c>
      <c r="B33" s="3" t="s">
        <v>107</v>
      </c>
      <c r="C33" s="1" t="s">
        <v>66</v>
      </c>
      <c r="D33" s="1" t="s">
        <v>108</v>
      </c>
      <c r="E33" s="1"/>
      <c r="F33" s="1"/>
      <c r="G33" s="1"/>
      <c r="H33" s="1"/>
      <c r="I33" s="1"/>
    </row>
    <row r="34" spans="1:9" ht="16.75" x14ac:dyDescent="0.3">
      <c r="A34" s="10" t="s">
        <v>109</v>
      </c>
      <c r="B34" s="1" t="s">
        <v>110</v>
      </c>
      <c r="C34" s="1" t="s">
        <v>111</v>
      </c>
      <c r="D34" s="1" t="s">
        <v>112</v>
      </c>
      <c r="E34" s="4">
        <v>0.96</v>
      </c>
      <c r="F34" s="5">
        <v>0.01</v>
      </c>
      <c r="G34" s="5">
        <v>0.03</v>
      </c>
      <c r="H34" s="1" t="s">
        <v>47</v>
      </c>
      <c r="I34" s="1" t="str">
        <f>_xlfn.DISPIMG("ID_F852B35AB3CB43DAB22A5E9FE5B23584",1)</f>
        <v>=DISPIMG("ID_F852B35AB3CB43DAB22A5E9FE5B23584",1)</v>
      </c>
    </row>
    <row r="35" spans="1:9" ht="16.75" x14ac:dyDescent="0.3">
      <c r="A35" s="10" t="s">
        <v>113</v>
      </c>
      <c r="B35" s="1" t="s">
        <v>114</v>
      </c>
      <c r="C35" s="1" t="s">
        <v>115</v>
      </c>
      <c r="D35" s="1" t="s">
        <v>116</v>
      </c>
      <c r="E35" s="5">
        <v>0.21</v>
      </c>
      <c r="F35" s="4">
        <v>0.57999999999999996</v>
      </c>
      <c r="G35" s="5">
        <v>0.17</v>
      </c>
      <c r="H35" s="5">
        <v>0.04</v>
      </c>
      <c r="I35" s="1" t="str">
        <f>_xlfn.DISPIMG("ID_D877000AF24C4D8CB132CC549D92793B",1)</f>
        <v>=DISPIMG("ID_D877000AF24C4D8CB132CC549D92793B",1)</v>
      </c>
    </row>
    <row r="36" spans="1:9" x14ac:dyDescent="0.3">
      <c r="A36" s="10" t="s">
        <v>117</v>
      </c>
      <c r="B36" s="1"/>
      <c r="C36" s="1"/>
      <c r="D36" s="1"/>
      <c r="E36" s="1"/>
      <c r="F36" s="1"/>
      <c r="G36" s="1"/>
      <c r="H36" s="1"/>
      <c r="I36" s="1"/>
    </row>
    <row r="37" spans="1:9" ht="16.75" x14ac:dyDescent="0.3">
      <c r="A37" s="10" t="s">
        <v>118</v>
      </c>
      <c r="B37" s="1" t="s">
        <v>103</v>
      </c>
      <c r="C37" s="1" t="s">
        <v>104</v>
      </c>
      <c r="D37" s="1" t="s">
        <v>119</v>
      </c>
      <c r="E37" s="4">
        <v>0.48</v>
      </c>
      <c r="F37" s="5">
        <v>0.47</v>
      </c>
      <c r="G37" s="5">
        <v>0.04</v>
      </c>
      <c r="H37" s="1" t="s">
        <v>47</v>
      </c>
      <c r="I37" s="1" t="str">
        <f>_xlfn.DISPIMG("ID_ADA2306E8B9E489492C073D0F7A89BE7",1)</f>
        <v>=DISPIMG("ID_ADA2306E8B9E489492C073D0F7A89BE7",1)</v>
      </c>
    </row>
    <row r="38" spans="1:9" ht="16.75" x14ac:dyDescent="0.3">
      <c r="A38" s="10" t="s">
        <v>120</v>
      </c>
      <c r="B38" s="1" t="s">
        <v>121</v>
      </c>
      <c r="C38" s="1" t="s">
        <v>122</v>
      </c>
      <c r="D38" s="1" t="s">
        <v>123</v>
      </c>
      <c r="E38" s="6" t="s">
        <v>124</v>
      </c>
      <c r="F38" s="5">
        <v>0.08</v>
      </c>
      <c r="G38" s="5">
        <v>0.03</v>
      </c>
      <c r="H38" s="1" t="s">
        <v>47</v>
      </c>
      <c r="I38" s="1" t="str">
        <f>_xlfn.DISPIMG("ID_6C9231E0C23A42ADA94D414D0AAE1A6E",1)</f>
        <v>=DISPIMG("ID_6C9231E0C23A42ADA94D414D0AAE1A6E",1)</v>
      </c>
    </row>
    <row r="39" spans="1:9" ht="16.75" x14ac:dyDescent="0.3">
      <c r="A39" s="10" t="s">
        <v>125</v>
      </c>
      <c r="B39" s="1" t="s">
        <v>126</v>
      </c>
      <c r="C39" s="1" t="s">
        <v>127</v>
      </c>
      <c r="D39" s="1" t="s">
        <v>128</v>
      </c>
      <c r="E39" s="4">
        <v>0.54</v>
      </c>
      <c r="F39" s="5">
        <v>0.23</v>
      </c>
      <c r="G39" s="1" t="s">
        <v>129</v>
      </c>
      <c r="H39" s="5">
        <v>0.05</v>
      </c>
      <c r="I39" s="1" t="str">
        <f>_xlfn.DISPIMG("ID_9C1C3B3035694999AED13C6914E0E803",1)</f>
        <v>=DISPIMG("ID_9C1C3B3035694999AED13C6914E0E803",1)</v>
      </c>
    </row>
    <row r="40" spans="1:9" x14ac:dyDescent="0.3">
      <c r="A40" s="10" t="s">
        <v>130</v>
      </c>
      <c r="B40" s="1"/>
      <c r="C40" s="1"/>
      <c r="D40" s="1"/>
      <c r="E40" s="1"/>
      <c r="F40" s="1"/>
      <c r="G40" s="1"/>
      <c r="H40" s="1"/>
      <c r="I40" s="1"/>
    </row>
    <row r="41" spans="1:9" ht="16.75" x14ac:dyDescent="0.3">
      <c r="A41" s="10" t="s">
        <v>131</v>
      </c>
      <c r="B41" s="1" t="s">
        <v>132</v>
      </c>
      <c r="C41" s="1" t="s">
        <v>133</v>
      </c>
      <c r="D41" s="1" t="s">
        <v>134</v>
      </c>
      <c r="E41" s="6" t="s">
        <v>135</v>
      </c>
      <c r="F41" s="5">
        <v>0.34</v>
      </c>
      <c r="G41" s="5">
        <v>0.24</v>
      </c>
      <c r="H41" s="5">
        <v>0.04</v>
      </c>
      <c r="I41" s="1" t="str">
        <f>_xlfn.DISPIMG("ID_6788D225FA4C49C59179D55AA7E2180F",1)</f>
        <v>=DISPIMG("ID_6788D225FA4C49C59179D55AA7E2180F",1)</v>
      </c>
    </row>
    <row r="42" spans="1:9" x14ac:dyDescent="0.3">
      <c r="A42" s="10" t="s">
        <v>136</v>
      </c>
      <c r="B42" s="1"/>
      <c r="C42" s="1"/>
      <c r="D42" s="1"/>
      <c r="E42" s="1"/>
      <c r="F42" s="1"/>
      <c r="G42" s="1"/>
      <c r="H42" s="1"/>
      <c r="I42" s="1"/>
    </row>
    <row r="43" spans="1:9" ht="16.75" x14ac:dyDescent="0.3">
      <c r="A43" s="10" t="s">
        <v>137</v>
      </c>
      <c r="B43" s="1" t="s">
        <v>103</v>
      </c>
      <c r="C43" s="1" t="s">
        <v>104</v>
      </c>
      <c r="D43" s="1" t="s">
        <v>138</v>
      </c>
      <c r="E43" s="1"/>
      <c r="F43" s="1"/>
      <c r="G43" s="1"/>
      <c r="H43" s="1"/>
      <c r="I43" s="1"/>
    </row>
    <row r="44" spans="1:9" ht="16.75" x14ac:dyDescent="0.3">
      <c r="A44" s="10" t="s">
        <v>139</v>
      </c>
      <c r="B44" s="1" t="s">
        <v>126</v>
      </c>
      <c r="C44" s="1" t="s">
        <v>127</v>
      </c>
      <c r="D44" s="1" t="s">
        <v>140</v>
      </c>
      <c r="E44" s="4">
        <v>0.54</v>
      </c>
      <c r="F44" s="5">
        <v>0.23</v>
      </c>
      <c r="G44" s="5">
        <v>0.18</v>
      </c>
      <c r="H44" s="5">
        <v>0.05</v>
      </c>
      <c r="I44" s="1" t="str">
        <f>_xlfn.DISPIMG("ID_882B64DAFC854CF498C36F62E9053CA8",1)</f>
        <v>=DISPIMG("ID_882B64DAFC854CF498C36F62E9053CA8",1)</v>
      </c>
    </row>
    <row r="45" spans="1:9" ht="16.75" x14ac:dyDescent="0.3">
      <c r="A45" s="10" t="s">
        <v>141</v>
      </c>
      <c r="B45" s="1" t="s">
        <v>142</v>
      </c>
      <c r="C45" s="1" t="s">
        <v>143</v>
      </c>
      <c r="D45" s="1" t="s">
        <v>144</v>
      </c>
      <c r="E45" s="4">
        <v>0.38</v>
      </c>
      <c r="F45" s="5">
        <v>0.36</v>
      </c>
      <c r="G45" s="5">
        <v>0.19</v>
      </c>
      <c r="H45" s="5">
        <v>7.0000000000000007E-2</v>
      </c>
      <c r="I45" s="1" t="str">
        <f>_xlfn.DISPIMG("ID_0653D9AC5FAF4FB19EEE946878536C10",1)</f>
        <v>=DISPIMG("ID_0653D9AC5FAF4FB19EEE946878536C10",1)</v>
      </c>
    </row>
    <row r="46" spans="1:9" x14ac:dyDescent="0.3">
      <c r="A46" s="10" t="s">
        <v>145</v>
      </c>
      <c r="B46" s="1"/>
      <c r="C46" s="1"/>
      <c r="D46" s="1"/>
      <c r="E46" s="1"/>
      <c r="F46" s="1"/>
      <c r="G46" s="1"/>
      <c r="H46" s="1"/>
      <c r="I46" s="1"/>
    </row>
    <row r="47" spans="1:9" ht="16.75" x14ac:dyDescent="0.3">
      <c r="A47" s="10" t="s">
        <v>146</v>
      </c>
      <c r="B47" s="1" t="s">
        <v>79</v>
      </c>
      <c r="C47" s="1" t="s">
        <v>80</v>
      </c>
      <c r="D47" s="1" t="s">
        <v>147</v>
      </c>
      <c r="E47" s="4">
        <v>0.8</v>
      </c>
      <c r="F47" s="5">
        <v>0.04</v>
      </c>
      <c r="G47" s="5">
        <v>0.13</v>
      </c>
      <c r="H47" s="5">
        <v>0.03</v>
      </c>
      <c r="I47" s="1" t="str">
        <f>_xlfn.DISPIMG("ID_E709DF51830C44CAB992AC220E3DF33A",1)</f>
        <v>=DISPIMG("ID_E709DF51830C44CAB992AC220E3DF33A",1)</v>
      </c>
    </row>
    <row r="48" spans="1:9" ht="16.75" x14ac:dyDescent="0.3">
      <c r="A48" s="10" t="s">
        <v>148</v>
      </c>
      <c r="B48" s="1" t="s">
        <v>149</v>
      </c>
      <c r="C48" s="1" t="s">
        <v>150</v>
      </c>
      <c r="D48" s="1" t="s">
        <v>151</v>
      </c>
      <c r="E48" s="1" t="s">
        <v>152</v>
      </c>
      <c r="F48" s="4">
        <v>0.44</v>
      </c>
      <c r="G48" s="5">
        <v>0.15</v>
      </c>
      <c r="H48" s="1" t="s">
        <v>153</v>
      </c>
      <c r="I48" s="1" t="str">
        <f>_xlfn.DISPIMG("ID_3C830A3268DB4C2DA6692846E153002A",1)</f>
        <v>=DISPIMG("ID_3C830A3268DB4C2DA6692846E153002A",1)</v>
      </c>
    </row>
    <row r="49" spans="1:9" ht="16.75" x14ac:dyDescent="0.3">
      <c r="A49" s="10" t="s">
        <v>154</v>
      </c>
      <c r="B49" s="1" t="s">
        <v>155</v>
      </c>
      <c r="C49" s="1" t="s">
        <v>156</v>
      </c>
      <c r="D49" s="1" t="s">
        <v>157</v>
      </c>
      <c r="E49" s="5">
        <v>0.33</v>
      </c>
      <c r="F49" s="4">
        <v>0.67</v>
      </c>
      <c r="G49" s="5">
        <v>0</v>
      </c>
      <c r="H49" s="5">
        <v>0</v>
      </c>
      <c r="I49" s="1" t="str">
        <f>_xlfn.DISPIMG("ID_FE5F8B3E86034C1EB357AD3A78D53898",1)</f>
        <v>=DISPIMG("ID_FE5F8B3E86034C1EB357AD3A78D53898",1)</v>
      </c>
    </row>
    <row r="50" spans="1:9" ht="16.75" x14ac:dyDescent="0.3">
      <c r="A50" s="10" t="s">
        <v>158</v>
      </c>
      <c r="B50" s="1" t="s">
        <v>65</v>
      </c>
      <c r="C50" s="1" t="s">
        <v>66</v>
      </c>
      <c r="D50" s="1" t="s">
        <v>159</v>
      </c>
      <c r="E50" s="5">
        <v>0.15</v>
      </c>
      <c r="F50" s="4">
        <v>0.84</v>
      </c>
      <c r="G50" s="5">
        <v>0.01</v>
      </c>
      <c r="H50" s="1" t="s">
        <v>47</v>
      </c>
      <c r="I50" s="1" t="str">
        <f>_xlfn.DISPIMG("ID_09F5756437B44DD0887AC583D3EBC037",1)</f>
        <v>=DISPIMG("ID_09F5756437B44DD0887AC583D3EBC037",1)</v>
      </c>
    </row>
    <row r="51" spans="1:9" x14ac:dyDescent="0.3">
      <c r="A51" s="10" t="s">
        <v>160</v>
      </c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0" t="s">
        <v>161</v>
      </c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0" t="s">
        <v>162</v>
      </c>
      <c r="B53" s="1"/>
      <c r="C53" s="1"/>
      <c r="D53" s="1"/>
      <c r="E53" s="1"/>
      <c r="F53" s="1"/>
      <c r="G53" s="1"/>
      <c r="H53" s="1"/>
      <c r="I53" s="1"/>
    </row>
    <row r="54" spans="1:9" ht="16.75" x14ac:dyDescent="0.3">
      <c r="A54" s="10" t="s">
        <v>163</v>
      </c>
      <c r="B54" s="1" t="s">
        <v>164</v>
      </c>
      <c r="C54" s="1" t="s">
        <v>165</v>
      </c>
      <c r="D54" s="1" t="s">
        <v>166</v>
      </c>
      <c r="E54" s="5">
        <v>0.42</v>
      </c>
      <c r="F54" s="4">
        <v>0.56999999999999995</v>
      </c>
      <c r="G54" s="5">
        <v>0.01</v>
      </c>
      <c r="H54" s="1" t="s">
        <v>47</v>
      </c>
      <c r="I54" s="1" t="str">
        <f>_xlfn.DISPIMG("ID_DF1CD769716F4B619508F680503D135C",1)</f>
        <v>=DISPIMG("ID_DF1CD769716F4B619508F680503D135C",1)</v>
      </c>
    </row>
    <row r="55" spans="1:9" ht="16.75" x14ac:dyDescent="0.3">
      <c r="A55" s="10" t="s">
        <v>167</v>
      </c>
      <c r="B55" s="1" t="s">
        <v>65</v>
      </c>
      <c r="C55" s="1" t="s">
        <v>66</v>
      </c>
      <c r="D55" s="1" t="s">
        <v>168</v>
      </c>
      <c r="E55" s="5">
        <v>0.15</v>
      </c>
      <c r="F55" s="4">
        <v>0.83</v>
      </c>
      <c r="G55" s="5">
        <v>0.02</v>
      </c>
      <c r="H55" s="5">
        <v>0</v>
      </c>
      <c r="I55" s="1" t="str">
        <f>_xlfn.DISPIMG("ID_3DCF8117E6E744FA9C023C9F9BBF0C03",1)</f>
        <v>=DISPIMG("ID_3DCF8117E6E744FA9C023C9F9BBF0C03",1)</v>
      </c>
    </row>
    <row r="56" spans="1:9" ht="16.75" x14ac:dyDescent="0.3">
      <c r="A56" s="10" t="s">
        <v>169</v>
      </c>
      <c r="B56" s="1" t="s">
        <v>170</v>
      </c>
      <c r="C56" s="1" t="s">
        <v>171</v>
      </c>
      <c r="D56" s="1" t="s">
        <v>172</v>
      </c>
      <c r="E56" s="1" t="s">
        <v>173</v>
      </c>
      <c r="F56" s="4">
        <v>0.52</v>
      </c>
      <c r="G56" s="5">
        <v>0.22</v>
      </c>
      <c r="H56" s="5">
        <v>0.03</v>
      </c>
      <c r="I56" s="1" t="str">
        <f>_xlfn.DISPIMG("ID_A7CABB4EAAA548078A1C9CFB464CCED3",1)</f>
        <v>=DISPIMG("ID_A7CABB4EAAA548078A1C9CFB464CCED3",1)</v>
      </c>
    </row>
    <row r="57" spans="1:9" ht="16.75" x14ac:dyDescent="0.3">
      <c r="A57" s="10" t="s">
        <v>174</v>
      </c>
      <c r="B57" s="1" t="s">
        <v>175</v>
      </c>
      <c r="C57" s="1" t="s">
        <v>176</v>
      </c>
      <c r="D57" s="1" t="s">
        <v>177</v>
      </c>
      <c r="E57" s="5">
        <v>0.28000000000000003</v>
      </c>
      <c r="F57" s="4">
        <v>0.68</v>
      </c>
      <c r="G57" s="5">
        <v>0.02</v>
      </c>
      <c r="H57" s="5">
        <v>0.01</v>
      </c>
      <c r="I57" s="1" t="str">
        <f>_xlfn.DISPIMG("ID_C263E81E178942B7B41EDD46448F02AC",1)</f>
        <v>=DISPIMG("ID_C263E81E178942B7B41EDD46448F02AC",1)</v>
      </c>
    </row>
    <row r="58" spans="1:9" ht="16.75" x14ac:dyDescent="0.3">
      <c r="A58" s="10" t="s">
        <v>178</v>
      </c>
      <c r="B58" s="1" t="s">
        <v>175</v>
      </c>
      <c r="C58" s="1" t="s">
        <v>176</v>
      </c>
      <c r="D58" s="1" t="s">
        <v>179</v>
      </c>
      <c r="E58" s="5">
        <v>0.28000000000000003</v>
      </c>
      <c r="F58" s="4">
        <v>0.68</v>
      </c>
      <c r="G58" s="5">
        <v>0.02</v>
      </c>
      <c r="H58" s="5">
        <v>0.01</v>
      </c>
      <c r="I58" s="1" t="str">
        <f>_xlfn.DISPIMG("ID_695AD8F97ACD4325A4E463A878FA5F0C",1)</f>
        <v>=DISPIMG("ID_695AD8F97ACD4325A4E463A878FA5F0C",1)</v>
      </c>
    </row>
    <row r="59" spans="1:9" ht="16.75" x14ac:dyDescent="0.3">
      <c r="A59" s="10" t="s">
        <v>180</v>
      </c>
      <c r="B59" s="1" t="s">
        <v>175</v>
      </c>
      <c r="C59" s="1" t="s">
        <v>176</v>
      </c>
      <c r="D59" s="1" t="s">
        <v>181</v>
      </c>
      <c r="E59" s="4">
        <v>0.4</v>
      </c>
      <c r="F59" s="1" t="s">
        <v>182</v>
      </c>
      <c r="G59" s="5">
        <v>0.11</v>
      </c>
      <c r="H59" s="5">
        <v>0.22</v>
      </c>
      <c r="I59" s="1" t="str">
        <f>_xlfn.DISPIMG("ID_FB7D9E91629E4A42AE73CDB42BC1C836",1)</f>
        <v>=DISPIMG("ID_FB7D9E91629E4A42AE73CDB42BC1C836",1)</v>
      </c>
    </row>
    <row r="60" spans="1:9" ht="16.75" x14ac:dyDescent="0.3">
      <c r="A60" s="10" t="s">
        <v>183</v>
      </c>
      <c r="B60" s="1" t="s">
        <v>184</v>
      </c>
      <c r="C60" s="1" t="s">
        <v>185</v>
      </c>
      <c r="D60" s="1" t="s">
        <v>186</v>
      </c>
      <c r="E60" s="4">
        <v>0.64</v>
      </c>
      <c r="F60" s="5">
        <v>0.14000000000000001</v>
      </c>
      <c r="G60" s="5">
        <v>0.2</v>
      </c>
      <c r="H60" s="1" t="s">
        <v>17</v>
      </c>
      <c r="I60" s="1" t="str">
        <f>_xlfn.DISPIMG("ID_A355E8BF1A7B439F8CC175F1502B070F",1)</f>
        <v>=DISPIMG("ID_A355E8BF1A7B439F8CC175F1502B070F",1)</v>
      </c>
    </row>
    <row r="61" spans="1:9" ht="16.75" x14ac:dyDescent="0.3">
      <c r="A61" s="10" t="s">
        <v>187</v>
      </c>
      <c r="B61" s="1" t="s">
        <v>188</v>
      </c>
      <c r="C61" s="1" t="s">
        <v>189</v>
      </c>
      <c r="D61" s="1" t="s">
        <v>190</v>
      </c>
      <c r="E61" s="4">
        <v>0.67</v>
      </c>
      <c r="F61" s="1" t="s">
        <v>191</v>
      </c>
      <c r="G61" s="5">
        <v>0.02</v>
      </c>
      <c r="H61" s="5">
        <v>0</v>
      </c>
      <c r="I61" s="1" t="str">
        <f>_xlfn.DISPIMG("ID_88CE9575C7EC45C486C7591C1362D977",1)</f>
        <v>=DISPIMG("ID_88CE9575C7EC45C486C7591C1362D977",1)</v>
      </c>
    </row>
    <row r="62" spans="1:9" ht="16.75" x14ac:dyDescent="0.3">
      <c r="A62" s="10" t="s">
        <v>192</v>
      </c>
      <c r="B62" s="1" t="s">
        <v>193</v>
      </c>
      <c r="C62" s="1" t="s">
        <v>194</v>
      </c>
      <c r="D62" s="1" t="s">
        <v>195</v>
      </c>
      <c r="E62" s="4">
        <v>0.59</v>
      </c>
      <c r="F62" s="5">
        <v>0.04</v>
      </c>
      <c r="G62" s="5">
        <v>0.36</v>
      </c>
      <c r="H62" s="5">
        <v>0.01</v>
      </c>
      <c r="I62" s="1" t="str">
        <f>_xlfn.DISPIMG("ID_38DC3411C48F48FF8B396A5EF1C4F652",1)</f>
        <v>=DISPIMG("ID_38DC3411C48F48FF8B396A5EF1C4F652",1)</v>
      </c>
    </row>
    <row r="63" spans="1:9" ht="16.75" x14ac:dyDescent="0.3">
      <c r="A63" s="10" t="s">
        <v>196</v>
      </c>
      <c r="B63" s="1" t="s">
        <v>197</v>
      </c>
      <c r="C63" s="1" t="s">
        <v>198</v>
      </c>
      <c r="D63" s="1" t="s">
        <v>199</v>
      </c>
      <c r="E63" s="5">
        <v>0.21</v>
      </c>
      <c r="F63" s="4">
        <v>0.78</v>
      </c>
      <c r="G63" s="5">
        <v>0.01</v>
      </c>
      <c r="H63" s="5">
        <v>0</v>
      </c>
      <c r="I63" s="1" t="str">
        <f>_xlfn.DISPIMG("ID_D9A94B753E464F1EAA1A975C82AFC769",1)</f>
        <v>=DISPIMG("ID_D9A94B753E464F1EAA1A975C82AFC769",1)</v>
      </c>
    </row>
    <row r="64" spans="1:9" ht="16.75" x14ac:dyDescent="0.3">
      <c r="A64" s="10" t="s">
        <v>200</v>
      </c>
      <c r="B64" s="1" t="s">
        <v>201</v>
      </c>
      <c r="C64" s="1" t="s">
        <v>202</v>
      </c>
      <c r="D64" s="1" t="s">
        <v>203</v>
      </c>
      <c r="E64" s="5">
        <v>0.03</v>
      </c>
      <c r="F64" s="4">
        <v>0.97</v>
      </c>
      <c r="G64" s="5">
        <v>0</v>
      </c>
      <c r="H64" s="5">
        <v>0</v>
      </c>
      <c r="I64" s="1" t="str">
        <f>_xlfn.DISPIMG("ID_7D8AB070C5F5483092FBE25B81EEBD5F",1)</f>
        <v>=DISPIMG("ID_7D8AB070C5F5483092FBE25B81EEBD5F",1)</v>
      </c>
    </row>
    <row r="65" spans="1:9" ht="16.75" x14ac:dyDescent="0.3">
      <c r="A65" s="10" t="s">
        <v>204</v>
      </c>
      <c r="B65" s="1" t="s">
        <v>205</v>
      </c>
      <c r="C65" s="1" t="s">
        <v>57</v>
      </c>
      <c r="D65" s="1" t="s">
        <v>206</v>
      </c>
      <c r="E65" s="4">
        <v>0.8</v>
      </c>
      <c r="F65" s="5">
        <v>0.13</v>
      </c>
      <c r="G65" s="5">
        <v>0.06</v>
      </c>
      <c r="H65" s="5">
        <v>0.01</v>
      </c>
      <c r="I65" s="1" t="str">
        <f>_xlfn.DISPIMG("ID_CB4E731F18A048EB91B8499D4F778018",1)</f>
        <v>=DISPIMG("ID_CB4E731F18A048EB91B8499D4F778018",1)</v>
      </c>
    </row>
    <row r="66" spans="1:9" ht="16.75" x14ac:dyDescent="0.3">
      <c r="A66" s="10" t="s">
        <v>207</v>
      </c>
      <c r="B66" s="1" t="s">
        <v>175</v>
      </c>
      <c r="C66" s="1" t="s">
        <v>176</v>
      </c>
      <c r="D66" s="1" t="s">
        <v>208</v>
      </c>
      <c r="E66" s="5">
        <v>0.28000000000000003</v>
      </c>
      <c r="F66" s="4">
        <v>0.68</v>
      </c>
      <c r="G66" s="5">
        <v>0.02</v>
      </c>
      <c r="H66" s="5">
        <v>0.01</v>
      </c>
      <c r="I66" s="1" t="str">
        <f>_xlfn.DISPIMG("ID_FFCB739D9FAC47C6A0BEE076409F4D24",1)</f>
        <v>=DISPIMG("ID_FFCB739D9FAC47C6A0BEE076409F4D24",1)</v>
      </c>
    </row>
    <row r="67" spans="1:9" ht="16.75" x14ac:dyDescent="0.3">
      <c r="A67" s="10" t="s">
        <v>209</v>
      </c>
      <c r="B67" s="1" t="s">
        <v>175</v>
      </c>
      <c r="C67" s="1" t="s">
        <v>176</v>
      </c>
      <c r="D67" s="1" t="s">
        <v>208</v>
      </c>
      <c r="E67" s="1" t="s">
        <v>210</v>
      </c>
      <c r="F67" s="4">
        <v>0.68</v>
      </c>
      <c r="G67" s="5">
        <v>0.02</v>
      </c>
      <c r="H67" s="5">
        <v>0.01</v>
      </c>
      <c r="I67" s="1" t="str">
        <f>_xlfn.DISPIMG("ID_9D34E9DE66184D6FB4FBAD70237F910E",1)</f>
        <v>=DISPIMG("ID_9D34E9DE66184D6FB4FBAD70237F910E",1)</v>
      </c>
    </row>
    <row r="68" spans="1:9" ht="16.75" x14ac:dyDescent="0.3">
      <c r="A68" s="10" t="s">
        <v>211</v>
      </c>
      <c r="B68" s="1" t="s">
        <v>212</v>
      </c>
      <c r="C68" s="1" t="s">
        <v>213</v>
      </c>
      <c r="D68" s="1" t="s">
        <v>214</v>
      </c>
      <c r="E68" s="6" t="s">
        <v>215</v>
      </c>
      <c r="F68" s="5">
        <v>0.11</v>
      </c>
      <c r="G68" s="5">
        <v>0.03</v>
      </c>
      <c r="H68" s="1" t="s">
        <v>46</v>
      </c>
      <c r="I68" s="1" t="str">
        <f>_xlfn.DISPIMG("ID_C8BEDF995CF540F7BF59C00272F0E31E",1)</f>
        <v>=DISPIMG("ID_C8BEDF995CF540F7BF59C00272F0E31E",1)</v>
      </c>
    </row>
    <row r="69" spans="1:9" x14ac:dyDescent="0.3">
      <c r="A69" s="10" t="s">
        <v>216</v>
      </c>
      <c r="B69" s="1"/>
      <c r="C69" s="1"/>
      <c r="D69" s="1"/>
      <c r="E69" s="1"/>
      <c r="F69" s="1"/>
      <c r="G69" s="1"/>
      <c r="H69" s="1"/>
      <c r="I69" s="1"/>
    </row>
    <row r="70" spans="1:9" ht="16.75" x14ac:dyDescent="0.3">
      <c r="A70" s="10" t="s">
        <v>217</v>
      </c>
      <c r="B70" s="1" t="s">
        <v>218</v>
      </c>
      <c r="C70" s="1" t="s">
        <v>219</v>
      </c>
      <c r="D70" s="1" t="s">
        <v>220</v>
      </c>
      <c r="E70" s="4">
        <v>0.69</v>
      </c>
      <c r="F70" s="1" t="s">
        <v>221</v>
      </c>
      <c r="G70" s="5">
        <v>0.2</v>
      </c>
      <c r="H70" s="5">
        <v>0.06</v>
      </c>
      <c r="I70" s="1" t="str">
        <f>_xlfn.DISPIMG("ID_932238BBF8B04945B80613B801FB17AB",1)</f>
        <v>=DISPIMG("ID_932238BBF8B04945B80613B801FB17AB",1)</v>
      </c>
    </row>
    <row r="71" spans="1:9" ht="16.75" x14ac:dyDescent="0.3">
      <c r="A71" s="10" t="s">
        <v>222</v>
      </c>
      <c r="B71" s="1" t="s">
        <v>164</v>
      </c>
      <c r="C71" s="1" t="s">
        <v>165</v>
      </c>
      <c r="D71" s="1" t="s">
        <v>223</v>
      </c>
      <c r="E71" s="5">
        <v>0.37</v>
      </c>
      <c r="F71" s="4">
        <v>0.56999999999999995</v>
      </c>
      <c r="G71" s="5">
        <v>0.03</v>
      </c>
      <c r="H71" s="5">
        <v>0.03</v>
      </c>
      <c r="I71" s="1" t="str">
        <f>_xlfn.DISPIMG("ID_478DB58648D04471B727328EB84AF0A7",1)</f>
        <v>=DISPIMG("ID_478DB58648D04471B727328EB84AF0A7",1)</v>
      </c>
    </row>
    <row r="72" spans="1:9" ht="16.75" x14ac:dyDescent="0.3">
      <c r="A72" s="10" t="s">
        <v>224</v>
      </c>
      <c r="B72" s="1" t="s">
        <v>90</v>
      </c>
      <c r="C72" s="1" t="s">
        <v>91</v>
      </c>
      <c r="D72" s="1" t="s">
        <v>225</v>
      </c>
      <c r="E72" s="5">
        <v>0.14000000000000001</v>
      </c>
      <c r="F72" s="6" t="s">
        <v>226</v>
      </c>
      <c r="G72" s="5">
        <v>0.03</v>
      </c>
      <c r="H72" s="5">
        <v>0.02</v>
      </c>
      <c r="I72" s="1" t="str">
        <f>_xlfn.DISPIMG("ID_A56D884BAA18412CAFF9A3386DEC8E36",1)</f>
        <v>=DISPIMG("ID_A56D884BAA18412CAFF9A3386DEC8E36",1)</v>
      </c>
    </row>
    <row r="73" spans="1:9" x14ac:dyDescent="0.3">
      <c r="A73" s="10" t="s">
        <v>227</v>
      </c>
      <c r="B73" s="1"/>
      <c r="C73" s="1"/>
      <c r="D73" s="1"/>
      <c r="E73" s="1"/>
      <c r="F73" s="1"/>
      <c r="G73" s="1"/>
      <c r="H73" s="1"/>
      <c r="I73" s="1"/>
    </row>
    <row r="74" spans="1:9" ht="16.75" x14ac:dyDescent="0.3">
      <c r="A74" s="10" t="s">
        <v>228</v>
      </c>
      <c r="B74" s="1" t="s">
        <v>65</v>
      </c>
      <c r="C74" s="1" t="s">
        <v>66</v>
      </c>
      <c r="D74" s="1" t="s">
        <v>229</v>
      </c>
      <c r="E74" s="1" t="s">
        <v>230</v>
      </c>
      <c r="F74" s="4">
        <v>0.93</v>
      </c>
      <c r="G74" s="4">
        <v>0</v>
      </c>
      <c r="H74" s="1" t="s">
        <v>47</v>
      </c>
      <c r="I74" s="1" t="str">
        <f>_xlfn.DISPIMG("ID_C4C86FA9086345F2A3F2EE1F8C24E80F",1)</f>
        <v>=DISPIMG("ID_C4C86FA9086345F2A3F2EE1F8C24E80F",1)</v>
      </c>
    </row>
    <row r="75" spans="1:9" ht="16.75" x14ac:dyDescent="0.3">
      <c r="A75" s="10" t="s">
        <v>231</v>
      </c>
      <c r="B75" s="1" t="s">
        <v>232</v>
      </c>
      <c r="C75" s="3" t="s">
        <v>233</v>
      </c>
      <c r="D75" s="1" t="s">
        <v>234</v>
      </c>
      <c r="E75" s="4">
        <v>0.49</v>
      </c>
      <c r="F75" s="1" t="s">
        <v>235</v>
      </c>
      <c r="G75" s="5">
        <v>0.23</v>
      </c>
      <c r="H75" s="5">
        <v>0.02</v>
      </c>
      <c r="I75" s="1" t="str">
        <f>_xlfn.DISPIMG("ID_F5A0F56816CB4B9885A0DD21DFF320CB",1)</f>
        <v>=DISPIMG("ID_F5A0F56816CB4B9885A0DD21DFF320CB",1)</v>
      </c>
    </row>
    <row r="76" spans="1:9" x14ac:dyDescent="0.3">
      <c r="A76" s="10" t="s">
        <v>236</v>
      </c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0" t="s">
        <v>237</v>
      </c>
      <c r="B77" s="1"/>
      <c r="C77" s="1"/>
      <c r="D77" s="1"/>
      <c r="E77" s="1"/>
      <c r="F77" s="1"/>
      <c r="G77" s="1"/>
      <c r="H77" s="1"/>
      <c r="I77" s="1"/>
    </row>
    <row r="78" spans="1:9" ht="16.75" x14ac:dyDescent="0.3">
      <c r="A78" s="10" t="s">
        <v>238</v>
      </c>
      <c r="B78" s="1" t="s">
        <v>239</v>
      </c>
      <c r="C78" s="1" t="s">
        <v>240</v>
      </c>
      <c r="D78" s="1" t="s">
        <v>241</v>
      </c>
      <c r="E78" s="6" t="s">
        <v>242</v>
      </c>
      <c r="F78" s="5">
        <v>0.42</v>
      </c>
      <c r="G78" s="1" t="s">
        <v>153</v>
      </c>
      <c r="H78" s="5">
        <v>0.03</v>
      </c>
      <c r="I78" s="1" t="str">
        <f>_xlfn.DISPIMG("ID_4A08B300DBA84E60AE647B078BD77D3F",1)</f>
        <v>=DISPIMG("ID_4A08B300DBA84E60AE647B078BD77D3F",1)</v>
      </c>
    </row>
    <row r="79" spans="1:9" ht="16.75" x14ac:dyDescent="0.3">
      <c r="A79" s="10" t="s">
        <v>243</v>
      </c>
      <c r="B79" s="1" t="s">
        <v>244</v>
      </c>
      <c r="C79" s="1" t="s">
        <v>245</v>
      </c>
      <c r="D79" s="1" t="s">
        <v>246</v>
      </c>
      <c r="E79" s="1"/>
      <c r="F79" s="1"/>
      <c r="G79" s="1"/>
      <c r="H79" s="1"/>
      <c r="I79" s="1"/>
    </row>
    <row r="80" spans="1:9" ht="16.75" x14ac:dyDescent="0.3">
      <c r="A80" s="10" t="s">
        <v>247</v>
      </c>
      <c r="B80" s="1" t="s">
        <v>248</v>
      </c>
      <c r="C80" s="1" t="s">
        <v>249</v>
      </c>
      <c r="D80" s="1" t="s">
        <v>250</v>
      </c>
      <c r="E80" s="4">
        <v>0.66</v>
      </c>
      <c r="F80" s="5">
        <v>0.09</v>
      </c>
      <c r="G80" s="5">
        <v>0.17</v>
      </c>
      <c r="H80" s="5">
        <v>7.0000000000000007E-2</v>
      </c>
      <c r="I80" s="1" t="str">
        <f>_xlfn.DISPIMG("ID_EA78ECF6321B47199870F14DDD494C9A",1)</f>
        <v>=DISPIMG("ID_EA78ECF6321B47199870F14DDD494C9A",1)</v>
      </c>
    </row>
    <row r="81" spans="1:9" ht="16.75" x14ac:dyDescent="0.3">
      <c r="A81" s="10" t="s">
        <v>251</v>
      </c>
      <c r="B81" s="1" t="s">
        <v>252</v>
      </c>
      <c r="C81" s="1" t="s">
        <v>253</v>
      </c>
      <c r="D81" s="1" t="s">
        <v>254</v>
      </c>
      <c r="E81" s="5">
        <v>0.36</v>
      </c>
      <c r="F81" s="4">
        <v>0.4</v>
      </c>
      <c r="G81" s="5">
        <v>0.23</v>
      </c>
      <c r="H81" s="5">
        <v>0.01</v>
      </c>
      <c r="I81" s="1" t="str">
        <f>_xlfn.DISPIMG("ID_91ABDC42AB3545788D09FF9F488084EB",1)</f>
        <v>=DISPIMG("ID_91ABDC42AB3545788D09FF9F488084EB",1)</v>
      </c>
    </row>
    <row r="82" spans="1:9" ht="16.75" x14ac:dyDescent="0.3">
      <c r="A82" s="10" t="s">
        <v>255</v>
      </c>
      <c r="B82" s="1" t="s">
        <v>175</v>
      </c>
      <c r="C82" s="1" t="s">
        <v>176</v>
      </c>
      <c r="D82" s="1" t="s">
        <v>256</v>
      </c>
      <c r="E82" s="4">
        <v>0.53</v>
      </c>
      <c r="F82" s="5">
        <v>0.15</v>
      </c>
      <c r="G82" s="5">
        <v>0.23</v>
      </c>
      <c r="H82" s="5">
        <v>0.09</v>
      </c>
      <c r="I82" s="1" t="str">
        <f>_xlfn.DISPIMG("ID_1D579C839CA24625AA616AF297E428F7",1)</f>
        <v>=DISPIMG("ID_1D579C839CA24625AA616AF297E428F7",1)</v>
      </c>
    </row>
    <row r="83" spans="1:9" x14ac:dyDescent="0.3">
      <c r="A83" s="10" t="s">
        <v>257</v>
      </c>
      <c r="B83" s="1"/>
      <c r="C83" s="1"/>
      <c r="D83" s="1"/>
      <c r="E83" s="1"/>
      <c r="F83" s="1"/>
      <c r="G83" s="1"/>
      <c r="H83" s="1"/>
      <c r="I83" s="1"/>
    </row>
    <row r="84" spans="1:9" ht="16.75" x14ac:dyDescent="0.3">
      <c r="A84" s="10" t="s">
        <v>258</v>
      </c>
      <c r="B84" s="1" t="s">
        <v>248</v>
      </c>
      <c r="C84" s="1" t="s">
        <v>249</v>
      </c>
      <c r="D84" s="1" t="s">
        <v>250</v>
      </c>
      <c r="E84" s="4">
        <v>0.66</v>
      </c>
      <c r="F84" s="1" t="s">
        <v>37</v>
      </c>
      <c r="G84" s="5">
        <v>0.17</v>
      </c>
      <c r="H84" s="5">
        <v>7.0000000000000007E-2</v>
      </c>
      <c r="I84" s="1" t="str">
        <f>_xlfn.DISPIMG("ID_0FE91E1494EB41C9B338E573B4AABCA3",1)</f>
        <v>=DISPIMG("ID_0FE91E1494EB41C9B338E573B4AABCA3",1)</v>
      </c>
    </row>
    <row r="85" spans="1:9" x14ac:dyDescent="0.3">
      <c r="A85" s="10" t="s">
        <v>259</v>
      </c>
      <c r="B85" s="1"/>
      <c r="C85" s="1"/>
      <c r="D85" s="1"/>
      <c r="E85" s="1"/>
      <c r="F85" s="1"/>
      <c r="G85" s="1"/>
      <c r="H85" s="1"/>
      <c r="I85" s="1"/>
    </row>
    <row r="86" spans="1:9" ht="16.75" x14ac:dyDescent="0.3">
      <c r="A86" s="10" t="s">
        <v>260</v>
      </c>
      <c r="B86" s="1" t="s">
        <v>261</v>
      </c>
      <c r="C86" s="1" t="s">
        <v>262</v>
      </c>
      <c r="D86" s="1" t="s">
        <v>263</v>
      </c>
      <c r="E86" s="1"/>
      <c r="F86" s="1"/>
      <c r="G86" s="1"/>
      <c r="H86" s="1"/>
      <c r="I86" s="1"/>
    </row>
    <row r="87" spans="1:9" ht="16.75" x14ac:dyDescent="0.3">
      <c r="A87" s="10" t="s">
        <v>264</v>
      </c>
      <c r="B87" s="1" t="s">
        <v>265</v>
      </c>
      <c r="C87" s="1" t="s">
        <v>266</v>
      </c>
      <c r="D87" s="1" t="s">
        <v>267</v>
      </c>
      <c r="E87" s="4">
        <v>0.61</v>
      </c>
      <c r="F87" s="5">
        <v>0.05</v>
      </c>
      <c r="G87" s="5">
        <v>0.27</v>
      </c>
      <c r="H87" s="5">
        <v>0.06</v>
      </c>
      <c r="I87" s="1" t="str">
        <f>_xlfn.DISPIMG("ID_7E456F693C83419B9CEA3E4188FF3914",1)</f>
        <v>=DISPIMG("ID_7E456F693C83419B9CEA3E4188FF3914",1)</v>
      </c>
    </row>
    <row r="88" spans="1:9" x14ac:dyDescent="0.3">
      <c r="A88" s="10" t="s">
        <v>268</v>
      </c>
      <c r="B88" s="1"/>
      <c r="C88" s="1"/>
      <c r="D88" s="1"/>
      <c r="E88" s="1"/>
      <c r="F88" s="1"/>
      <c r="G88" s="1"/>
      <c r="H88" s="1"/>
      <c r="I88" s="1"/>
    </row>
    <row r="89" spans="1:9" ht="16.75" x14ac:dyDescent="0.3">
      <c r="A89" s="10" t="s">
        <v>269</v>
      </c>
      <c r="B89" s="1" t="s">
        <v>270</v>
      </c>
      <c r="C89" s="1" t="s">
        <v>271</v>
      </c>
      <c r="D89" s="1" t="s">
        <v>272</v>
      </c>
      <c r="E89" s="1" t="s">
        <v>273</v>
      </c>
      <c r="F89" s="6" t="s">
        <v>274</v>
      </c>
      <c r="G89" s="5">
        <v>0.15</v>
      </c>
      <c r="H89" s="5">
        <v>7.0000000000000007E-2</v>
      </c>
      <c r="I89" s="1" t="str">
        <f>_xlfn.DISPIMG("ID_C2446700D34546E8A35B81E03DB358C8",1)</f>
        <v>=DISPIMG("ID_C2446700D34546E8A35B81E03DB358C8",1)</v>
      </c>
    </row>
    <row r="90" spans="1:9" x14ac:dyDescent="0.3">
      <c r="A90" s="10" t="s">
        <v>275</v>
      </c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0" t="s">
        <v>276</v>
      </c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0" t="s">
        <v>277</v>
      </c>
      <c r="B92" s="1"/>
      <c r="C92" s="1"/>
      <c r="D92" s="1"/>
      <c r="E92" s="1"/>
      <c r="F92" s="1"/>
      <c r="G92" s="1"/>
      <c r="H92" s="1"/>
      <c r="I92" s="1"/>
    </row>
    <row r="93" spans="1:9" ht="16.75" x14ac:dyDescent="0.3">
      <c r="A93" s="10" t="s">
        <v>278</v>
      </c>
      <c r="B93" s="1" t="s">
        <v>164</v>
      </c>
      <c r="C93" s="1" t="s">
        <v>165</v>
      </c>
      <c r="D93" s="1" t="s">
        <v>279</v>
      </c>
      <c r="E93" s="5">
        <v>0.26</v>
      </c>
      <c r="F93" s="4">
        <v>0.72</v>
      </c>
      <c r="G93" s="1" t="s">
        <v>17</v>
      </c>
      <c r="H93" s="5">
        <v>0</v>
      </c>
      <c r="I93" s="1" t="str">
        <f>_xlfn.DISPIMG("ID_345DD01D56F443FEB0C205FD2F21225A",1)</f>
        <v>=DISPIMG("ID_345DD01D56F443FEB0C205FD2F21225A",1)</v>
      </c>
    </row>
    <row r="94" spans="1:9" ht="16.75" x14ac:dyDescent="0.3">
      <c r="A94" s="10" t="s">
        <v>280</v>
      </c>
      <c r="B94" s="1" t="s">
        <v>164</v>
      </c>
      <c r="C94" s="1" t="s">
        <v>165</v>
      </c>
      <c r="D94" s="1" t="s">
        <v>281</v>
      </c>
      <c r="E94" s="5">
        <v>0.4</v>
      </c>
      <c r="F94" s="4">
        <v>0.59</v>
      </c>
      <c r="G94" s="7">
        <v>0.01</v>
      </c>
      <c r="H94" s="7">
        <v>0</v>
      </c>
      <c r="I94" s="1" t="str">
        <f>_xlfn.DISPIMG("ID_6B0932D969544FD687E406D0B7C14D95",1)</f>
        <v>=DISPIMG("ID_6B0932D969544FD687E406D0B7C14D95",1)</v>
      </c>
    </row>
    <row r="95" spans="1:9" ht="16.75" x14ac:dyDescent="0.3">
      <c r="A95" s="10" t="s">
        <v>282</v>
      </c>
      <c r="B95" s="1" t="s">
        <v>164</v>
      </c>
      <c r="C95" s="1" t="s">
        <v>165</v>
      </c>
      <c r="D95" s="1" t="s">
        <v>283</v>
      </c>
      <c r="E95" s="5">
        <v>0.26</v>
      </c>
      <c r="F95" s="4">
        <v>0.72</v>
      </c>
      <c r="G95" s="5">
        <v>0.02</v>
      </c>
      <c r="H95" s="5">
        <v>0</v>
      </c>
      <c r="I95" s="1" t="str">
        <f>_xlfn.DISPIMG("ID_E77E44C6C9A4431497942753FBB4B2C1",1)</f>
        <v>=DISPIMG("ID_E77E44C6C9A4431497942753FBB4B2C1",1)</v>
      </c>
    </row>
    <row r="96" spans="1:9" ht="16.75" x14ac:dyDescent="0.3">
      <c r="A96" s="10" t="s">
        <v>284</v>
      </c>
      <c r="B96" s="1" t="s">
        <v>175</v>
      </c>
      <c r="C96" s="1" t="s">
        <v>176</v>
      </c>
      <c r="D96" s="1" t="s">
        <v>285</v>
      </c>
      <c r="E96" s="5">
        <v>0.24</v>
      </c>
      <c r="F96" s="4">
        <v>0.63</v>
      </c>
      <c r="G96" s="5">
        <v>0.08</v>
      </c>
      <c r="H96" s="1" t="s">
        <v>221</v>
      </c>
      <c r="I96" s="1" t="str">
        <f>_xlfn.DISPIMG("ID_7CCC4AB7EBDD4878B3F7238E2881F31C",1)</f>
        <v>=DISPIMG("ID_7CCC4AB7EBDD4878B3F7238E2881F31C",1)</v>
      </c>
    </row>
    <row r="97" spans="1:9" ht="16.75" x14ac:dyDescent="0.3">
      <c r="A97" s="10" t="s">
        <v>286</v>
      </c>
      <c r="B97" s="1" t="s">
        <v>164</v>
      </c>
      <c r="C97" s="1" t="s">
        <v>165</v>
      </c>
      <c r="D97" s="1" t="s">
        <v>287</v>
      </c>
      <c r="E97" s="5">
        <v>0.27</v>
      </c>
      <c r="F97" s="4">
        <v>0.72</v>
      </c>
      <c r="G97" s="5">
        <v>0.01</v>
      </c>
      <c r="H97" s="5">
        <v>0</v>
      </c>
      <c r="I97" s="1" t="str">
        <f>_xlfn.DISPIMG("ID_036EF859944F4EB1B2A9A02D68E9637B",1)</f>
        <v>=DISPIMG("ID_036EF859944F4EB1B2A9A02D68E9637B",1)</v>
      </c>
    </row>
    <row r="98" spans="1:9" ht="16.75" x14ac:dyDescent="0.3">
      <c r="A98" s="10" t="s">
        <v>288</v>
      </c>
      <c r="B98" s="1" t="s">
        <v>289</v>
      </c>
      <c r="C98" s="1" t="s">
        <v>290</v>
      </c>
      <c r="D98" s="1" t="s">
        <v>291</v>
      </c>
      <c r="E98" s="1"/>
      <c r="F98" s="1"/>
      <c r="G98" s="1"/>
      <c r="H98" s="1"/>
      <c r="I98" s="1"/>
    </row>
    <row r="99" spans="1:9" ht="16.75" x14ac:dyDescent="0.3">
      <c r="A99" s="10" t="s">
        <v>292</v>
      </c>
      <c r="B99" s="1" t="s">
        <v>175</v>
      </c>
      <c r="C99" s="1" t="s">
        <v>176</v>
      </c>
      <c r="D99" s="1" t="s">
        <v>293</v>
      </c>
      <c r="E99" s="1" t="s">
        <v>235</v>
      </c>
      <c r="F99" s="4">
        <v>0.57999999999999996</v>
      </c>
      <c r="G99" s="5">
        <v>0.12</v>
      </c>
      <c r="H99" s="5">
        <v>0.05</v>
      </c>
      <c r="I99" s="1" t="str">
        <f>_xlfn.DISPIMG("ID_C2BA0733DE3949B88E06C702B0D31FB7",1)</f>
        <v>=DISPIMG("ID_C2BA0733DE3949B88E06C702B0D31FB7",1)</v>
      </c>
    </row>
    <row r="100" spans="1:9" ht="16.75" x14ac:dyDescent="0.3">
      <c r="A100" s="10" t="s">
        <v>294</v>
      </c>
      <c r="B100" s="1" t="s">
        <v>295</v>
      </c>
      <c r="C100" s="1" t="s">
        <v>296</v>
      </c>
      <c r="D100" s="1" t="s">
        <v>297</v>
      </c>
      <c r="E100" s="1"/>
      <c r="F100" s="1"/>
      <c r="G100" s="1"/>
      <c r="H100" s="1"/>
      <c r="I100" s="1"/>
    </row>
    <row r="101" spans="1:9" ht="16.75" x14ac:dyDescent="0.3">
      <c r="A101" s="10" t="s">
        <v>298</v>
      </c>
      <c r="B101" s="1" t="s">
        <v>299</v>
      </c>
      <c r="C101" s="1" t="s">
        <v>300</v>
      </c>
      <c r="D101" s="1" t="s">
        <v>301</v>
      </c>
      <c r="E101" s="1"/>
      <c r="F101" s="1"/>
      <c r="G101" s="1"/>
      <c r="H101" s="1"/>
      <c r="I101" s="1"/>
    </row>
    <row r="102" spans="1:9" x14ac:dyDescent="0.3">
      <c r="A102" s="10" t="s">
        <v>302</v>
      </c>
      <c r="B102" s="1"/>
      <c r="C102" s="1"/>
      <c r="D102" s="1"/>
      <c r="E102" s="1"/>
      <c r="F102" s="1"/>
      <c r="G102" s="1"/>
      <c r="H102" s="1"/>
      <c r="I102" s="1"/>
    </row>
    <row r="103" spans="1:9" ht="28.3" x14ac:dyDescent="0.3">
      <c r="A103" s="10" t="s">
        <v>303</v>
      </c>
      <c r="B103" s="1" t="s">
        <v>164</v>
      </c>
      <c r="C103" s="1" t="s">
        <v>165</v>
      </c>
      <c r="D103" s="3" t="s">
        <v>304</v>
      </c>
      <c r="E103" s="4">
        <v>0.56000000000000005</v>
      </c>
      <c r="F103" s="5">
        <v>0.25</v>
      </c>
      <c r="G103" s="5">
        <v>0.18</v>
      </c>
      <c r="H103" s="5">
        <v>0.01</v>
      </c>
      <c r="I103" s="1" t="str">
        <f>_xlfn.DISPIMG("ID_837A7E31B2F4431C96D6B3DEBF757773",1)</f>
        <v>=DISPIMG("ID_837A7E31B2F4431C96D6B3DEBF757773",1)</v>
      </c>
    </row>
    <row r="104" spans="1:9" ht="16.75" x14ac:dyDescent="0.3">
      <c r="A104" s="10" t="s">
        <v>305</v>
      </c>
      <c r="B104" s="1" t="s">
        <v>175</v>
      </c>
      <c r="C104" s="1" t="s">
        <v>176</v>
      </c>
      <c r="D104" s="1" t="s">
        <v>306</v>
      </c>
      <c r="E104" s="5">
        <v>0.22</v>
      </c>
      <c r="F104" s="6" t="s">
        <v>307</v>
      </c>
      <c r="G104" s="1" t="s">
        <v>308</v>
      </c>
      <c r="H104" s="1" t="s">
        <v>153</v>
      </c>
      <c r="I104" s="1" t="str">
        <f>_xlfn.DISPIMG("ID_BE3B9EF939D74B5A8ECF2EC55BF77A1E",1)</f>
        <v>=DISPIMG("ID_BE3B9EF939D74B5A8ECF2EC55BF77A1E",1)</v>
      </c>
    </row>
    <row r="105" spans="1:9" ht="16.75" x14ac:dyDescent="0.3">
      <c r="A105" s="10" t="s">
        <v>309</v>
      </c>
      <c r="B105" s="1" t="s">
        <v>295</v>
      </c>
      <c r="C105" s="1" t="s">
        <v>296</v>
      </c>
      <c r="D105" s="1" t="s">
        <v>310</v>
      </c>
      <c r="E105" s="5">
        <v>0.36</v>
      </c>
      <c r="F105" s="4">
        <v>0.62</v>
      </c>
      <c r="G105" s="5">
        <v>0.02</v>
      </c>
      <c r="H105" s="1" t="s">
        <v>47</v>
      </c>
      <c r="I105" s="1" t="str">
        <f>_xlfn.DISPIMG("ID_F71CB8472F4F4C9BB459E08DBCE072C0",1)</f>
        <v>=DISPIMG("ID_F71CB8472F4F4C9BB459E08DBCE072C0",1)</v>
      </c>
    </row>
    <row r="106" spans="1:9" ht="16.75" x14ac:dyDescent="0.3">
      <c r="A106" s="10" t="s">
        <v>311</v>
      </c>
      <c r="B106" s="1" t="s">
        <v>312</v>
      </c>
      <c r="C106" s="1" t="s">
        <v>313</v>
      </c>
      <c r="D106" s="1" t="s">
        <v>314</v>
      </c>
      <c r="E106" s="1" t="s">
        <v>315</v>
      </c>
      <c r="F106" s="4">
        <v>0.44</v>
      </c>
      <c r="G106" s="5">
        <v>0.15</v>
      </c>
      <c r="H106" s="5">
        <v>0.04</v>
      </c>
      <c r="I106" s="1" t="str">
        <f>_xlfn.DISPIMG("ID_E89D3F85AB434A4788B83FCCF5FB4785",1)</f>
        <v>=DISPIMG("ID_E89D3F85AB434A4788B83FCCF5FB4785",1)</v>
      </c>
    </row>
    <row r="107" spans="1:9" ht="16.75" x14ac:dyDescent="0.3">
      <c r="A107" s="10" t="s">
        <v>316</v>
      </c>
      <c r="B107" s="1" t="s">
        <v>175</v>
      </c>
      <c r="C107" s="1" t="s">
        <v>176</v>
      </c>
      <c r="D107" s="1" t="s">
        <v>317</v>
      </c>
      <c r="E107" s="5">
        <v>0.24</v>
      </c>
      <c r="F107" s="4">
        <v>0.62</v>
      </c>
      <c r="G107" s="5">
        <v>0.06</v>
      </c>
      <c r="H107" s="1" t="s">
        <v>230</v>
      </c>
      <c r="I107" s="1" t="str">
        <f>_xlfn.DISPIMG("ID_35100ABC23784E4B8A082A154002C6E4",1)</f>
        <v>=DISPIMG("ID_35100ABC23784E4B8A082A154002C6E4",1)</v>
      </c>
    </row>
    <row r="108" spans="1:9" ht="16.75" x14ac:dyDescent="0.3">
      <c r="A108" s="10" t="s">
        <v>318</v>
      </c>
      <c r="B108" s="1" t="s">
        <v>319</v>
      </c>
      <c r="C108" s="1" t="s">
        <v>320</v>
      </c>
      <c r="D108" s="1" t="s">
        <v>321</v>
      </c>
      <c r="E108" s="1" t="s">
        <v>182</v>
      </c>
      <c r="F108" s="4">
        <v>0.68</v>
      </c>
      <c r="G108" s="5">
        <v>0.04</v>
      </c>
      <c r="H108" s="5">
        <v>0</v>
      </c>
      <c r="I108" s="1" t="str">
        <f>_xlfn.DISPIMG("ID_B45DDE370446448CB8AD2690EEE9B54C",1)</f>
        <v>=DISPIMG("ID_B45DDE370446448CB8AD2690EEE9B54C",1)</v>
      </c>
    </row>
    <row r="109" spans="1:9" ht="28.3" x14ac:dyDescent="0.3">
      <c r="A109" s="10" t="s">
        <v>322</v>
      </c>
      <c r="B109" s="1" t="s">
        <v>323</v>
      </c>
      <c r="C109" s="1" t="s">
        <v>324</v>
      </c>
      <c r="D109" s="3" t="s">
        <v>325</v>
      </c>
      <c r="E109" s="4">
        <v>0.75</v>
      </c>
      <c r="F109" s="5">
        <v>0.13</v>
      </c>
      <c r="G109" s="5">
        <v>0.11</v>
      </c>
      <c r="H109" s="5">
        <v>0.02</v>
      </c>
      <c r="I109" s="1" t="str">
        <f>_xlfn.DISPIMG("ID_F76AD8FBF9FD43F2B10990D71D1B7009",1)</f>
        <v>=DISPIMG("ID_F76AD8FBF9FD43F2B10990D71D1B7009",1)</v>
      </c>
    </row>
    <row r="110" spans="1:9" x14ac:dyDescent="0.3">
      <c r="A110" s="10" t="s">
        <v>326</v>
      </c>
      <c r="B110" s="1"/>
      <c r="C110" s="1"/>
      <c r="D110" s="1"/>
      <c r="E110" s="1"/>
      <c r="F110" s="1"/>
      <c r="G110" s="1"/>
      <c r="H110" s="1"/>
      <c r="I110" s="1"/>
    </row>
    <row r="111" spans="1:9" ht="16.75" x14ac:dyDescent="0.3">
      <c r="A111" s="10" t="s">
        <v>327</v>
      </c>
      <c r="B111" s="1" t="s">
        <v>175</v>
      </c>
      <c r="C111" s="1" t="s">
        <v>176</v>
      </c>
      <c r="D111" s="1" t="s">
        <v>328</v>
      </c>
      <c r="E111" s="5">
        <v>0.21</v>
      </c>
      <c r="F111" s="4">
        <v>0.62</v>
      </c>
      <c r="G111" s="5">
        <v>0.08</v>
      </c>
      <c r="H111" s="1" t="s">
        <v>153</v>
      </c>
      <c r="I111" s="1" t="str">
        <f>_xlfn.DISPIMG("ID_066E6CAB1AEA41EDBEFCD4F8CED37678",1)</f>
        <v>=DISPIMG("ID_066E6CAB1AEA41EDBEFCD4F8CED37678",1)</v>
      </c>
    </row>
    <row r="112" spans="1:9" ht="16.75" x14ac:dyDescent="0.3">
      <c r="A112" s="10" t="s">
        <v>329</v>
      </c>
      <c r="B112" s="1" t="s">
        <v>164</v>
      </c>
      <c r="C112" s="1" t="s">
        <v>165</v>
      </c>
      <c r="D112" s="1" t="s">
        <v>330</v>
      </c>
      <c r="E112" s="5">
        <v>0.28000000000000003</v>
      </c>
      <c r="F112" s="4">
        <v>0.69</v>
      </c>
      <c r="G112" s="5">
        <v>0.02</v>
      </c>
      <c r="H112" s="5">
        <v>0</v>
      </c>
      <c r="I112" s="1" t="str">
        <f>_xlfn.DISPIMG("ID_96DE51302B2F443F8590C0A8E273B87E",1)</f>
        <v>=DISPIMG("ID_96DE51302B2F443F8590C0A8E273B87E",1)</v>
      </c>
    </row>
    <row r="113" spans="1:9" ht="16.75" x14ac:dyDescent="0.3">
      <c r="A113" s="10" t="s">
        <v>331</v>
      </c>
      <c r="B113" s="1" t="s">
        <v>332</v>
      </c>
      <c r="C113" s="1" t="s">
        <v>333</v>
      </c>
      <c r="D113" s="1" t="s">
        <v>334</v>
      </c>
      <c r="E113" s="5">
        <v>0.43</v>
      </c>
      <c r="F113" s="4">
        <v>0.53</v>
      </c>
      <c r="G113" s="5">
        <v>0.04</v>
      </c>
      <c r="H113" s="1" t="s">
        <v>47</v>
      </c>
      <c r="I113" s="1" t="str">
        <f>_xlfn.DISPIMG("ID_760AB49555B04E7695A742EC7E53A24A",1)</f>
        <v>=DISPIMG("ID_760AB49555B04E7695A742EC7E53A24A",1)</v>
      </c>
    </row>
    <row r="114" spans="1:9" x14ac:dyDescent="0.3">
      <c r="A114" s="10" t="s">
        <v>335</v>
      </c>
      <c r="B114" s="1"/>
      <c r="C114" s="1"/>
      <c r="D114" s="1"/>
      <c r="E114" s="1"/>
      <c r="F114" s="1"/>
      <c r="G114" s="1"/>
      <c r="H114" s="1"/>
      <c r="I114" s="1"/>
    </row>
    <row r="115" spans="1:9" ht="16.75" x14ac:dyDescent="0.3">
      <c r="A115" s="10" t="s">
        <v>336</v>
      </c>
      <c r="B115" s="1" t="s">
        <v>337</v>
      </c>
      <c r="C115" s="1" t="s">
        <v>338</v>
      </c>
      <c r="D115" s="1" t="s">
        <v>339</v>
      </c>
      <c r="E115" s="1"/>
      <c r="F115" s="1"/>
      <c r="G115" s="1"/>
      <c r="H115" s="1"/>
      <c r="I115" s="1"/>
    </row>
    <row r="116" spans="1:9" x14ac:dyDescent="0.3">
      <c r="A116" s="10" t="s">
        <v>340</v>
      </c>
      <c r="B116" s="1"/>
      <c r="C116" s="1"/>
      <c r="D116" s="1"/>
      <c r="E116" s="1"/>
      <c r="F116" s="1"/>
      <c r="G116" s="1"/>
      <c r="H116" s="1"/>
      <c r="I116" s="1"/>
    </row>
    <row r="117" spans="1:9" ht="16.75" x14ac:dyDescent="0.3">
      <c r="A117" s="10" t="s">
        <v>341</v>
      </c>
      <c r="B117" s="1" t="s">
        <v>342</v>
      </c>
      <c r="C117" s="1" t="s">
        <v>343</v>
      </c>
      <c r="D117" s="1" t="s">
        <v>344</v>
      </c>
      <c r="E117" s="5">
        <v>0.31</v>
      </c>
      <c r="F117" s="4">
        <v>0.62</v>
      </c>
      <c r="G117" s="5">
        <v>7.0000000000000007E-2</v>
      </c>
      <c r="H117" s="1" t="s">
        <v>47</v>
      </c>
      <c r="I117" s="1" t="str">
        <f>_xlfn.DISPIMG("ID_6BC5AE1E2E4141258C8FB356A9DC632B",1)</f>
        <v>=DISPIMG("ID_6BC5AE1E2E4141258C8FB356A9DC632B",1)</v>
      </c>
    </row>
    <row r="118" spans="1:9" x14ac:dyDescent="0.3">
      <c r="A118" s="10" t="s">
        <v>345</v>
      </c>
      <c r="B118" s="1"/>
      <c r="C118" s="1"/>
      <c r="D118" s="1"/>
      <c r="E118" s="1"/>
      <c r="F118" s="1"/>
      <c r="G118" s="1"/>
      <c r="H118" s="1"/>
      <c r="I118" s="1"/>
    </row>
    <row r="119" spans="1:9" ht="16.75" x14ac:dyDescent="0.3">
      <c r="A119" s="10" t="s">
        <v>346</v>
      </c>
      <c r="B119" s="1" t="s">
        <v>347</v>
      </c>
      <c r="C119" s="1" t="s">
        <v>348</v>
      </c>
      <c r="D119" s="1" t="s">
        <v>349</v>
      </c>
      <c r="E119" s="1"/>
      <c r="F119" s="1"/>
      <c r="G119" s="1"/>
      <c r="H119" s="1"/>
      <c r="I119" s="1"/>
    </row>
    <row r="120" spans="1:9" ht="16.75" x14ac:dyDescent="0.3">
      <c r="A120" s="10" t="s">
        <v>350</v>
      </c>
      <c r="B120" s="1" t="s">
        <v>110</v>
      </c>
      <c r="C120" s="1" t="s">
        <v>111</v>
      </c>
      <c r="D120" s="1" t="s">
        <v>351</v>
      </c>
      <c r="E120" s="5">
        <v>0.01</v>
      </c>
      <c r="F120" s="4">
        <v>0.97</v>
      </c>
      <c r="G120" s="5">
        <v>0.02</v>
      </c>
      <c r="H120" s="5">
        <v>0</v>
      </c>
      <c r="I120" s="1" t="str">
        <f>_xlfn.DISPIMG("ID_6E905F61C6AA4971BAC6C7A527D6B6BC",1)</f>
        <v>=DISPIMG("ID_6E905F61C6AA4971BAC6C7A527D6B6BC",1)</v>
      </c>
    </row>
    <row r="121" spans="1:9" x14ac:dyDescent="0.3">
      <c r="A121" s="10" t="s">
        <v>352</v>
      </c>
      <c r="B121" s="1"/>
      <c r="C121" s="1"/>
      <c r="D121" s="1"/>
      <c r="E121" s="1"/>
      <c r="F121" s="1"/>
      <c r="G121" s="1"/>
      <c r="H121" s="1"/>
      <c r="I121" s="1"/>
    </row>
    <row r="122" spans="1:9" ht="16.75" x14ac:dyDescent="0.3">
      <c r="A122" s="10" t="s">
        <v>353</v>
      </c>
      <c r="B122" s="1" t="s">
        <v>270</v>
      </c>
      <c r="C122" s="1" t="s">
        <v>271</v>
      </c>
      <c r="D122" s="1" t="s">
        <v>354</v>
      </c>
      <c r="E122" s="4">
        <v>0.47</v>
      </c>
      <c r="F122" s="5">
        <v>0.33</v>
      </c>
      <c r="G122" s="5">
        <v>0.09</v>
      </c>
      <c r="H122" s="5">
        <v>0.11</v>
      </c>
      <c r="I122" s="1" t="str">
        <f>_xlfn.DISPIMG("ID_93A965F64F224BD9A3E36E093285152D",1)</f>
        <v>=DISPIMG("ID_93A965F64F224BD9A3E36E093285152D",1)</v>
      </c>
    </row>
    <row r="123" spans="1:9" x14ac:dyDescent="0.3">
      <c r="A123" s="10" t="s">
        <v>355</v>
      </c>
      <c r="B123" s="1"/>
      <c r="C123" s="1"/>
      <c r="D123" s="1"/>
      <c r="E123" s="1"/>
      <c r="F123" s="1"/>
      <c r="G123" s="1"/>
      <c r="H123" s="1"/>
      <c r="I123" s="1"/>
    </row>
    <row r="124" spans="1:9" ht="16.75" x14ac:dyDescent="0.3">
      <c r="A124" s="10" t="s">
        <v>356</v>
      </c>
      <c r="B124" s="1" t="s">
        <v>248</v>
      </c>
      <c r="C124" s="1" t="s">
        <v>249</v>
      </c>
      <c r="D124" s="1" t="s">
        <v>357</v>
      </c>
      <c r="E124" s="6" t="s">
        <v>307</v>
      </c>
      <c r="F124" s="5">
        <v>7.0000000000000007E-2</v>
      </c>
      <c r="G124" s="5">
        <v>0.28000000000000003</v>
      </c>
      <c r="H124" s="1" t="s">
        <v>358</v>
      </c>
      <c r="I124" s="1" t="str">
        <f>_xlfn.DISPIMG("ID_E557786637334B11884767E8945AAD29",1)</f>
        <v>=DISPIMG("ID_E557786637334B11884767E8945AAD29",1)</v>
      </c>
    </row>
    <row r="125" spans="1:9" ht="16.75" x14ac:dyDescent="0.3">
      <c r="A125" s="10" t="s">
        <v>359</v>
      </c>
      <c r="B125" s="1" t="s">
        <v>360</v>
      </c>
      <c r="C125" s="1" t="s">
        <v>361</v>
      </c>
      <c r="D125" s="1" t="s">
        <v>362</v>
      </c>
      <c r="E125" s="1"/>
      <c r="F125" s="1"/>
      <c r="G125" s="1"/>
      <c r="H125" s="1"/>
      <c r="I125" s="1"/>
    </row>
    <row r="126" spans="1:9" ht="16.75" x14ac:dyDescent="0.3">
      <c r="A126" s="10" t="s">
        <v>363</v>
      </c>
      <c r="B126" s="1" t="s">
        <v>360</v>
      </c>
      <c r="C126" s="1" t="s">
        <v>361</v>
      </c>
      <c r="D126" s="1" t="s">
        <v>364</v>
      </c>
      <c r="E126" s="6" t="s">
        <v>365</v>
      </c>
      <c r="F126" s="5">
        <v>7.0000000000000007E-2</v>
      </c>
      <c r="G126" s="5">
        <v>0.06</v>
      </c>
      <c r="H126" s="5">
        <v>0.04</v>
      </c>
      <c r="I126" s="1" t="str">
        <f>_xlfn.DISPIMG("ID_DFA170FB83AF40B58CE7137178874D35",1)</f>
        <v>=DISPIMG("ID_DFA170FB83AF40B58CE7137178874D35",1)</v>
      </c>
    </row>
    <row r="127" spans="1:9" ht="16.75" x14ac:dyDescent="0.3">
      <c r="A127" s="10" t="s">
        <v>366</v>
      </c>
      <c r="B127" s="1" t="s">
        <v>367</v>
      </c>
      <c r="C127" s="1" t="s">
        <v>368</v>
      </c>
      <c r="D127" s="1" t="s">
        <v>369</v>
      </c>
      <c r="E127" s="5">
        <v>0.2</v>
      </c>
      <c r="F127" s="6" t="s">
        <v>370</v>
      </c>
      <c r="G127" s="1" t="s">
        <v>221</v>
      </c>
      <c r="H127" s="1" t="s">
        <v>221</v>
      </c>
      <c r="I127" s="1" t="str">
        <f>_xlfn.DISPIMG("ID_056379F1CB004A5DAAD0F16ED3083A52",1)</f>
        <v>=DISPIMG("ID_056379F1CB004A5DAAD0F16ED3083A52",1)</v>
      </c>
    </row>
    <row r="128" spans="1:9" ht="16.75" x14ac:dyDescent="0.3">
      <c r="A128" s="10" t="s">
        <v>371</v>
      </c>
      <c r="B128" s="1" t="s">
        <v>312</v>
      </c>
      <c r="C128" s="1" t="s">
        <v>313</v>
      </c>
      <c r="D128" s="1" t="s">
        <v>372</v>
      </c>
      <c r="E128" s="5">
        <v>0.13</v>
      </c>
      <c r="F128" s="4">
        <v>0.45</v>
      </c>
      <c r="G128" s="5">
        <v>0.38</v>
      </c>
      <c r="H128" s="5">
        <v>0.04</v>
      </c>
      <c r="I128" s="1" t="str">
        <f>_xlfn.DISPIMG("ID_36CBAC0428344A28B818F76240F1F69B",1)</f>
        <v>=DISPIMG("ID_36CBAC0428344A28B818F76240F1F69B",1)</v>
      </c>
    </row>
    <row r="129" spans="1:9" ht="16.75" x14ac:dyDescent="0.3">
      <c r="A129" s="10" t="s">
        <v>373</v>
      </c>
      <c r="B129" s="1" t="s">
        <v>374</v>
      </c>
      <c r="C129" s="1" t="s">
        <v>375</v>
      </c>
      <c r="D129" s="1" t="s">
        <v>376</v>
      </c>
      <c r="E129" s="4">
        <v>0.86</v>
      </c>
      <c r="F129" s="5">
        <v>0.02</v>
      </c>
      <c r="G129" s="5">
        <v>7.0000000000000007E-2</v>
      </c>
      <c r="H129" s="5">
        <v>0.04</v>
      </c>
      <c r="I129" s="1" t="str">
        <f>_xlfn.DISPIMG("ID_E5ACE098DC6B4960B57127F29D0F5FAE",1)</f>
        <v>=DISPIMG("ID_E5ACE098DC6B4960B57127F29D0F5FAE",1)</v>
      </c>
    </row>
    <row r="130" spans="1:9" ht="16.75" x14ac:dyDescent="0.3">
      <c r="A130" s="10" t="s">
        <v>377</v>
      </c>
      <c r="B130" s="1" t="s">
        <v>239</v>
      </c>
      <c r="C130" s="1" t="s">
        <v>240</v>
      </c>
      <c r="D130" s="1" t="s">
        <v>378</v>
      </c>
      <c r="E130" s="1"/>
      <c r="F130" s="1"/>
      <c r="G130" s="1"/>
      <c r="H130" s="1"/>
      <c r="I130" s="1"/>
    </row>
    <row r="131" spans="1:9" ht="16.75" x14ac:dyDescent="0.3">
      <c r="A131" s="10" t="s">
        <v>379</v>
      </c>
      <c r="B131" s="1" t="s">
        <v>380</v>
      </c>
      <c r="C131" s="1" t="s">
        <v>381</v>
      </c>
      <c r="D131" s="1" t="s">
        <v>382</v>
      </c>
      <c r="E131" s="5">
        <v>0.28999999999999998</v>
      </c>
      <c r="F131" s="6" t="s">
        <v>383</v>
      </c>
      <c r="G131" s="5">
        <v>0.03</v>
      </c>
      <c r="H131" s="5">
        <v>0.01</v>
      </c>
      <c r="I131" s="1" t="str">
        <f>_xlfn.DISPIMG("ID_2588A001C103424F86A65600ECC8E6AB",1)</f>
        <v>=DISPIMG("ID_2588A001C103424F86A65600ECC8E6AB",1)</v>
      </c>
    </row>
    <row r="132" spans="1:9" ht="16.75" x14ac:dyDescent="0.3">
      <c r="A132" s="10" t="s">
        <v>384</v>
      </c>
      <c r="B132" s="1" t="s">
        <v>360</v>
      </c>
      <c r="C132" s="1" t="s">
        <v>361</v>
      </c>
      <c r="D132" s="1" t="s">
        <v>385</v>
      </c>
      <c r="E132" s="1"/>
      <c r="F132" s="1"/>
      <c r="G132" s="1"/>
      <c r="H132" s="1"/>
      <c r="I132" s="1"/>
    </row>
    <row r="133" spans="1:9" x14ac:dyDescent="0.3">
      <c r="A133" s="10" t="s">
        <v>386</v>
      </c>
      <c r="B133" s="1"/>
      <c r="C133" s="1"/>
      <c r="D133" s="1"/>
      <c r="E133" s="1"/>
      <c r="F133" s="1"/>
      <c r="G133" s="1"/>
      <c r="H133" s="1"/>
      <c r="I133" s="1"/>
    </row>
    <row r="134" spans="1:9" ht="16.75" x14ac:dyDescent="0.3">
      <c r="A134" s="10" t="s">
        <v>387</v>
      </c>
      <c r="B134" s="1" t="s">
        <v>295</v>
      </c>
      <c r="C134" s="1" t="s">
        <v>296</v>
      </c>
      <c r="D134" s="1" t="s">
        <v>388</v>
      </c>
      <c r="E134" s="4">
        <v>0.71</v>
      </c>
      <c r="F134" s="5">
        <v>0.12</v>
      </c>
      <c r="G134" s="5">
        <v>0.17</v>
      </c>
      <c r="H134" s="1" t="s">
        <v>46</v>
      </c>
      <c r="I134" s="1" t="str">
        <f>_xlfn.DISPIMG("ID_1AE4ED3D23914D3585AAF9B518993F0A",1)</f>
        <v>=DISPIMG("ID_1AE4ED3D23914D3585AAF9B518993F0A",1)</v>
      </c>
    </row>
    <row r="135" spans="1:9" ht="16.75" x14ac:dyDescent="0.3">
      <c r="A135" s="10" t="s">
        <v>389</v>
      </c>
      <c r="B135" s="1" t="s">
        <v>390</v>
      </c>
      <c r="C135" s="1" t="s">
        <v>391</v>
      </c>
      <c r="D135" s="1" t="s">
        <v>392</v>
      </c>
      <c r="E135" s="4">
        <v>0.46</v>
      </c>
      <c r="F135" s="5">
        <v>0.17</v>
      </c>
      <c r="G135" s="5">
        <v>0.36</v>
      </c>
      <c r="H135" s="1" t="s">
        <v>46</v>
      </c>
      <c r="I135" s="1" t="str">
        <f>_xlfn.DISPIMG("ID_18E3279F57E94D789A87B590EDB6ED2B",1)</f>
        <v>=DISPIMG("ID_18E3279F57E94D789A87B590EDB6ED2B",1)</v>
      </c>
    </row>
    <row r="136" spans="1:9" ht="16.75" x14ac:dyDescent="0.3">
      <c r="A136" s="10" t="s">
        <v>393</v>
      </c>
      <c r="B136" s="1" t="s">
        <v>394</v>
      </c>
      <c r="C136" s="1" t="s">
        <v>395</v>
      </c>
      <c r="D136" s="1" t="s">
        <v>396</v>
      </c>
      <c r="E136" s="1"/>
      <c r="F136" s="1"/>
      <c r="G136" s="1"/>
      <c r="H136" s="1"/>
      <c r="I136" s="1"/>
    </row>
    <row r="137" spans="1:9" ht="16.75" x14ac:dyDescent="0.3">
      <c r="A137" s="10" t="s">
        <v>397</v>
      </c>
      <c r="B137" s="1" t="s">
        <v>398</v>
      </c>
      <c r="C137" s="1" t="s">
        <v>399</v>
      </c>
      <c r="D137" s="1" t="s">
        <v>400</v>
      </c>
      <c r="E137" s="4">
        <v>0.52</v>
      </c>
      <c r="F137" s="5">
        <v>0.37</v>
      </c>
      <c r="G137" s="5">
        <v>0.01</v>
      </c>
      <c r="H137" s="5">
        <v>0.11</v>
      </c>
      <c r="I137" s="1" t="str">
        <f>_xlfn.DISPIMG("ID_C4A6064487634191A922123B2F661D6B",1)</f>
        <v>=DISPIMG("ID_C4A6064487634191A922123B2F661D6B",1)</v>
      </c>
    </row>
    <row r="138" spans="1:9" ht="16.75" x14ac:dyDescent="0.3">
      <c r="A138" s="10" t="s">
        <v>401</v>
      </c>
      <c r="B138" s="1" t="s">
        <v>90</v>
      </c>
      <c r="C138" s="1" t="s">
        <v>91</v>
      </c>
      <c r="D138" s="1" t="s">
        <v>402</v>
      </c>
      <c r="E138" s="6" t="s">
        <v>403</v>
      </c>
      <c r="F138" s="5">
        <v>0.25</v>
      </c>
      <c r="G138" s="5">
        <v>0.16</v>
      </c>
      <c r="H138" s="1" t="s">
        <v>221</v>
      </c>
      <c r="I138" s="1" t="str">
        <f>_xlfn.DISPIMG("ID_1B248029F5F34A55A6779A57054EC397",1)</f>
        <v>=DISPIMG("ID_1B248029F5F34A55A6779A57054EC397",1)</v>
      </c>
    </row>
    <row r="139" spans="1:9" ht="16.75" x14ac:dyDescent="0.3">
      <c r="A139" s="10" t="s">
        <v>404</v>
      </c>
      <c r="B139" s="1" t="s">
        <v>405</v>
      </c>
      <c r="C139" s="1" t="s">
        <v>406</v>
      </c>
      <c r="D139" s="1" t="s">
        <v>407</v>
      </c>
      <c r="E139" s="4">
        <v>0.42</v>
      </c>
      <c r="F139" s="5">
        <v>0.18</v>
      </c>
      <c r="G139" s="5">
        <v>0.16</v>
      </c>
      <c r="H139" s="1" t="s">
        <v>68</v>
      </c>
      <c r="I139" s="1" t="str">
        <f>_xlfn.DISPIMG("ID_9350490DA9444DEB9298C32D9AC43A57",1)</f>
        <v>=DISPIMG("ID_9350490DA9444DEB9298C32D9AC43A57",1)</v>
      </c>
    </row>
    <row r="140" spans="1:9" ht="16.75" x14ac:dyDescent="0.3">
      <c r="A140" s="10" t="s">
        <v>408</v>
      </c>
      <c r="B140" s="1" t="s">
        <v>270</v>
      </c>
      <c r="C140" s="1" t="s">
        <v>271</v>
      </c>
      <c r="D140" s="1" t="s">
        <v>409</v>
      </c>
      <c r="E140" s="5">
        <v>0.34</v>
      </c>
      <c r="F140" s="4">
        <v>0.44</v>
      </c>
      <c r="G140" s="5">
        <v>0.15</v>
      </c>
      <c r="H140" s="5">
        <v>7.0000000000000007E-2</v>
      </c>
      <c r="I140" s="1" t="str">
        <f>_xlfn.DISPIMG("ID_7B25B0E590B346A7908A59620CE16637",1)</f>
        <v>=DISPIMG("ID_7B25B0E590B346A7908A59620CE16637",1)</v>
      </c>
    </row>
    <row r="141" spans="1:9" ht="16.75" x14ac:dyDescent="0.3">
      <c r="A141" s="10" t="s">
        <v>410</v>
      </c>
      <c r="B141" s="1" t="s">
        <v>411</v>
      </c>
      <c r="C141" s="1" t="s">
        <v>412</v>
      </c>
      <c r="D141" s="1" t="s">
        <v>413</v>
      </c>
      <c r="E141" s="5">
        <v>0.23</v>
      </c>
      <c r="F141" s="4">
        <v>0.59</v>
      </c>
      <c r="G141" s="5">
        <v>0.14000000000000001</v>
      </c>
      <c r="H141" s="5">
        <v>0.04</v>
      </c>
      <c r="I141" s="1" t="str">
        <f>_xlfn.DISPIMG("ID_A3C95079E58549EAA0B2066A6597452F",1)</f>
        <v>=DISPIMG("ID_A3C95079E58549EAA0B2066A6597452F",1)</v>
      </c>
    </row>
    <row r="142" spans="1:9" ht="16.75" x14ac:dyDescent="0.3">
      <c r="A142" s="10" t="s">
        <v>414</v>
      </c>
      <c r="B142" s="1" t="s">
        <v>415</v>
      </c>
      <c r="C142" s="1" t="s">
        <v>416</v>
      </c>
      <c r="D142" s="1" t="s">
        <v>417</v>
      </c>
      <c r="E142" s="4">
        <v>0.41</v>
      </c>
      <c r="F142" s="5">
        <v>0.27</v>
      </c>
      <c r="G142" s="5">
        <v>0.19</v>
      </c>
      <c r="H142" s="5">
        <v>0.13</v>
      </c>
      <c r="I142" s="1" t="str">
        <f>_xlfn.DISPIMG("ID_41B1F9F639FD4D3395AB4868F085A970",1)</f>
        <v>=DISPIMG("ID_41B1F9F639FD4D3395AB4868F085A970",1)</v>
      </c>
    </row>
    <row r="143" spans="1:9" ht="16.75" x14ac:dyDescent="0.3">
      <c r="A143" s="10" t="s">
        <v>418</v>
      </c>
      <c r="B143" s="1" t="s">
        <v>295</v>
      </c>
      <c r="C143" s="1" t="s">
        <v>296</v>
      </c>
      <c r="D143" s="1" t="s">
        <v>419</v>
      </c>
      <c r="E143" s="1" t="s">
        <v>420</v>
      </c>
      <c r="F143" s="4">
        <v>0.42</v>
      </c>
      <c r="G143" s="5">
        <v>0.15</v>
      </c>
      <c r="H143" s="5">
        <v>7.0000000000000007E-2</v>
      </c>
      <c r="I143" s="1" t="str">
        <f>_xlfn.DISPIMG("ID_986E74DB73614CBDBAB5A5D2F59C6393",1)</f>
        <v>=DISPIMG("ID_986E74DB73614CBDBAB5A5D2F59C6393",1)</v>
      </c>
    </row>
    <row r="144" spans="1:9" ht="16.75" x14ac:dyDescent="0.3">
      <c r="A144" s="10" t="s">
        <v>421</v>
      </c>
      <c r="B144" s="1" t="s">
        <v>175</v>
      </c>
      <c r="C144" s="1" t="s">
        <v>176</v>
      </c>
      <c r="D144" s="1" t="s">
        <v>422</v>
      </c>
      <c r="E144" s="5">
        <v>0.24</v>
      </c>
      <c r="F144" s="4">
        <v>0.6</v>
      </c>
      <c r="G144" s="5">
        <v>0.11</v>
      </c>
      <c r="H144" s="5">
        <v>0.05</v>
      </c>
      <c r="I144" s="1" t="str">
        <f>_xlfn.DISPIMG("ID_5E2B132AFD624C90A4BC628DC59DA9CA",1)</f>
        <v>=DISPIMG("ID_5E2B132AFD624C90A4BC628DC59DA9CA",1)</v>
      </c>
    </row>
    <row r="145" spans="1:9" x14ac:dyDescent="0.3">
      <c r="A145" s="10" t="s">
        <v>423</v>
      </c>
      <c r="B145" s="1"/>
      <c r="C145" s="1"/>
      <c r="D145" s="1"/>
      <c r="E145" s="1"/>
      <c r="F145" s="1"/>
      <c r="G145" s="1"/>
      <c r="H145" s="1"/>
      <c r="I145" s="1"/>
    </row>
    <row r="146" spans="1:9" ht="16.75" x14ac:dyDescent="0.3">
      <c r="A146" s="10" t="s">
        <v>424</v>
      </c>
      <c r="B146" s="1" t="s">
        <v>425</v>
      </c>
      <c r="C146" s="1" t="s">
        <v>426</v>
      </c>
      <c r="D146" s="1" t="s">
        <v>427</v>
      </c>
      <c r="E146" s="1"/>
      <c r="F146" s="1"/>
      <c r="G146" s="1"/>
      <c r="H146" s="1"/>
      <c r="I146" s="1"/>
    </row>
    <row r="147" spans="1:9" ht="16.75" x14ac:dyDescent="0.3">
      <c r="A147" s="10" t="s">
        <v>428</v>
      </c>
      <c r="B147" s="1" t="s">
        <v>295</v>
      </c>
      <c r="C147" s="1" t="s">
        <v>296</v>
      </c>
      <c r="D147" s="1" t="s">
        <v>429</v>
      </c>
      <c r="E147" s="5">
        <v>0.19</v>
      </c>
      <c r="F147" s="4">
        <v>0.77</v>
      </c>
      <c r="G147" s="5">
        <v>0.02</v>
      </c>
      <c r="H147" s="5">
        <v>0.02</v>
      </c>
      <c r="I147" s="1" t="str">
        <f>_xlfn.DISPIMG("ID_2E188D9C4A584751978BFAB8EE9253CC",1)</f>
        <v>=DISPIMG("ID_2E188D9C4A584751978BFAB8EE9253CC",1)</v>
      </c>
    </row>
    <row r="148" spans="1:9" ht="16.75" x14ac:dyDescent="0.3">
      <c r="A148" s="10" t="s">
        <v>430</v>
      </c>
      <c r="B148" s="1" t="s">
        <v>431</v>
      </c>
      <c r="C148" s="1" t="s">
        <v>432</v>
      </c>
      <c r="D148" s="1" t="s">
        <v>433</v>
      </c>
      <c r="E148" s="6" t="s">
        <v>434</v>
      </c>
      <c r="F148" s="5">
        <v>0.21</v>
      </c>
      <c r="G148" s="5">
        <v>0.01</v>
      </c>
      <c r="H148" s="1" t="s">
        <v>46</v>
      </c>
      <c r="I148" s="1" t="str">
        <f>_xlfn.DISPIMG("ID_D52EA9A2C3F04F809A8CA2E3BFD908E2",1)</f>
        <v>=DISPIMG("ID_D52EA9A2C3F04F809A8CA2E3BFD908E2",1)</v>
      </c>
    </row>
    <row r="149" spans="1:9" ht="16.75" x14ac:dyDescent="0.3">
      <c r="A149" s="10" t="s">
        <v>435</v>
      </c>
      <c r="B149" s="1" t="s">
        <v>436</v>
      </c>
      <c r="C149" s="1" t="s">
        <v>437</v>
      </c>
      <c r="D149" s="1" t="s">
        <v>438</v>
      </c>
      <c r="E149" s="5">
        <v>0.17</v>
      </c>
      <c r="F149" s="4">
        <v>0.6</v>
      </c>
      <c r="G149" s="5">
        <v>0.18</v>
      </c>
      <c r="H149" s="5">
        <v>0.05</v>
      </c>
      <c r="I149" s="1" t="str">
        <f>_xlfn.DISPIMG("ID_6BC037F3FF8B496BAEB2ADBEB9828CF1",1)</f>
        <v>=DISPIMG("ID_6BC037F3FF8B496BAEB2ADBEB9828CF1",1)</v>
      </c>
    </row>
    <row r="150" spans="1:9" x14ac:dyDescent="0.3">
      <c r="A150" s="10" t="s">
        <v>439</v>
      </c>
      <c r="B150" s="1"/>
      <c r="C150" s="1"/>
      <c r="D150" s="1"/>
      <c r="E150" s="1"/>
      <c r="F150" s="1"/>
      <c r="G150" s="1"/>
      <c r="H150" s="1"/>
      <c r="I150" s="1"/>
    </row>
    <row r="151" spans="1:9" ht="16.75" x14ac:dyDescent="0.3">
      <c r="A151" s="10" t="s">
        <v>440</v>
      </c>
      <c r="B151" s="1" t="s">
        <v>441</v>
      </c>
      <c r="C151" s="1" t="s">
        <v>442</v>
      </c>
      <c r="D151" s="1" t="s">
        <v>443</v>
      </c>
      <c r="E151" s="1" t="s">
        <v>235</v>
      </c>
      <c r="F151" s="4">
        <v>0.64</v>
      </c>
      <c r="G151" s="5">
        <v>0.11</v>
      </c>
      <c r="H151" s="5">
        <v>0</v>
      </c>
      <c r="I151" s="1" t="str">
        <f>_xlfn.DISPIMG("ID_9140B96190D342DDB4CB60614D58E030",1)</f>
        <v>=DISPIMG("ID_9140B96190D342DDB4CB60614D58E030",1)</v>
      </c>
    </row>
    <row r="152" spans="1:9" ht="16.75" x14ac:dyDescent="0.3">
      <c r="A152" s="10" t="s">
        <v>444</v>
      </c>
      <c r="B152" s="1" t="s">
        <v>295</v>
      </c>
      <c r="C152" s="1" t="s">
        <v>296</v>
      </c>
      <c r="D152" s="1" t="s">
        <v>445</v>
      </c>
      <c r="E152" s="5">
        <v>0.37</v>
      </c>
      <c r="F152" s="4">
        <v>0.39</v>
      </c>
      <c r="G152" s="5">
        <v>0.21</v>
      </c>
      <c r="H152" s="5">
        <v>0.03</v>
      </c>
      <c r="I152" s="1" t="str">
        <f>_xlfn.DISPIMG("ID_444456D2D6DE4C3192A909E9F870E69C",1)</f>
        <v>=DISPIMG("ID_444456D2D6DE4C3192A909E9F870E69C",1)</v>
      </c>
    </row>
    <row r="153" spans="1:9" ht="42.45" x14ac:dyDescent="0.3">
      <c r="A153" s="10" t="s">
        <v>446</v>
      </c>
      <c r="B153" s="1" t="s">
        <v>447</v>
      </c>
      <c r="C153" s="1" t="s">
        <v>448</v>
      </c>
      <c r="D153" s="3" t="s">
        <v>449</v>
      </c>
      <c r="E153" s="4">
        <v>0.53</v>
      </c>
      <c r="F153" s="5">
        <v>0.28999999999999998</v>
      </c>
      <c r="G153" s="5">
        <v>0.18</v>
      </c>
      <c r="H153" s="5">
        <v>0</v>
      </c>
      <c r="I153" s="1" t="str">
        <f>_xlfn.DISPIMG("ID_0B1A5E36307F43C7B1733E061809417E",1)</f>
        <v>=DISPIMG("ID_0B1A5E36307F43C7B1733E061809417E",1)</v>
      </c>
    </row>
    <row r="154" spans="1:9" ht="28.3" x14ac:dyDescent="0.3">
      <c r="A154" s="10" t="s">
        <v>450</v>
      </c>
      <c r="B154" s="1" t="s">
        <v>451</v>
      </c>
      <c r="C154" s="1" t="s">
        <v>452</v>
      </c>
      <c r="D154" s="3" t="s">
        <v>453</v>
      </c>
      <c r="E154" s="5">
        <v>0.24</v>
      </c>
      <c r="F154" s="4">
        <v>0.74</v>
      </c>
      <c r="G154" s="1" t="s">
        <v>46</v>
      </c>
      <c r="H154" s="1" t="s">
        <v>46</v>
      </c>
      <c r="I154" s="1" t="str">
        <f>_xlfn.DISPIMG("ID_8E30BB617CE1435A8ADC7DDBB9850650",1)</f>
        <v>=DISPIMG("ID_8E30BB617CE1435A8ADC7DDBB9850650",1)</v>
      </c>
    </row>
    <row r="155" spans="1:9" ht="16.75" x14ac:dyDescent="0.3">
      <c r="A155" s="10" t="s">
        <v>454</v>
      </c>
      <c r="B155" s="1" t="s">
        <v>295</v>
      </c>
      <c r="C155" s="1" t="s">
        <v>296</v>
      </c>
      <c r="D155" s="1" t="s">
        <v>455</v>
      </c>
      <c r="E155" s="5">
        <v>0.4</v>
      </c>
      <c r="F155" s="4">
        <v>0.57999999999999996</v>
      </c>
      <c r="G155" s="1" t="s">
        <v>46</v>
      </c>
      <c r="H155" s="1" t="s">
        <v>46</v>
      </c>
      <c r="I155" s="1" t="str">
        <f>_xlfn.DISPIMG("ID_B87E58A3579D4089AE41A2E8C4E4891A",1)</f>
        <v>=DISPIMG("ID_B87E58A3579D4089AE41A2E8C4E4891A",1)</v>
      </c>
    </row>
    <row r="156" spans="1:9" ht="16.75" x14ac:dyDescent="0.3">
      <c r="A156" s="10" t="s">
        <v>456</v>
      </c>
      <c r="B156" s="1" t="s">
        <v>319</v>
      </c>
      <c r="C156" s="1" t="s">
        <v>320</v>
      </c>
      <c r="D156" s="1" t="s">
        <v>457</v>
      </c>
      <c r="E156" s="5">
        <v>0.4</v>
      </c>
      <c r="F156" s="4">
        <v>0.54</v>
      </c>
      <c r="G156" s="5">
        <v>0.06</v>
      </c>
      <c r="H156" s="5">
        <v>0</v>
      </c>
      <c r="I156" s="1" t="str">
        <f>_xlfn.DISPIMG("ID_2C0F1F0311B74FF8B5E5DB88F7E2F850",1)</f>
        <v>=DISPIMG("ID_2C0F1F0311B74FF8B5E5DB88F7E2F850",1)</v>
      </c>
    </row>
    <row r="157" spans="1:9" x14ac:dyDescent="0.3">
      <c r="A157" s="10" t="s">
        <v>458</v>
      </c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0" t="s">
        <v>459</v>
      </c>
      <c r="B158" s="3" t="s">
        <v>460</v>
      </c>
      <c r="C158" s="1" t="s">
        <v>461</v>
      </c>
      <c r="D158" s="1" t="s">
        <v>462</v>
      </c>
      <c r="E158" s="6" t="s">
        <v>463</v>
      </c>
      <c r="F158" s="5">
        <v>0.36</v>
      </c>
      <c r="G158" s="5">
        <v>0.18</v>
      </c>
      <c r="H158" s="5">
        <v>0.04</v>
      </c>
      <c r="I158" s="1" t="str">
        <f>_xlfn.DISPIMG("ID_729640B883164A15B030177AF467C98B",1)</f>
        <v>=DISPIMG("ID_729640B883164A15B030177AF467C98B",1)</v>
      </c>
    </row>
  </sheetData>
  <phoneticPr fontId="4" type="noConversion"/>
  <conditionalFormatting sqref="A2:A158">
    <cfRule type="duplicateValues" dxfId="0" priority="1"/>
  </conditionalFormatting>
  <hyperlinks>
    <hyperlink ref="B2" r:id="rId1" location="query=C5H13O3P" tooltip="Find all compounds that have this formula" xr:uid="{00000000-0004-0000-0000-000000000000}"/>
    <hyperlink ref="B6" r:id="rId2" location="query=C15H10O7" tooltip="Find all compounds that have this formula" xr:uid="{00000000-0004-0000-0000-000001000000}"/>
    <hyperlink ref="B7" r:id="rId3" location="query=C15H10O6" tooltip="Find all compounds that have this formula" xr:uid="{00000000-0004-0000-0000-000002000000}"/>
    <hyperlink ref="B9" r:id="rId4" location="query=C20H40O" tooltip="Find all compounds that have this formula" xr:uid="{00000000-0004-0000-0000-000003000000}"/>
    <hyperlink ref="B10" r:id="rId5" location="query=C15H11ClO7" tooltip="Find all compounds that have this formula" xr:uid="{00000000-0004-0000-0000-000004000000}"/>
    <hyperlink ref="B11" r:id="rId6" location="query=C16H22O4" tooltip="Find all compounds that have this formula" xr:uid="{00000000-0004-0000-0000-000005000000}"/>
    <hyperlink ref="B13" r:id="rId7" location="query=C18H30O" tooltip="Find all compounds that have this formula" xr:uid="{00000000-0004-0000-0000-000006000000}"/>
    <hyperlink ref="B14" r:id="rId8" location="query=C15H10O7" tooltip="Find all compounds that have this formula" xr:uid="{00000000-0004-0000-0000-000007000000}"/>
    <hyperlink ref="B15" r:id="rId9" location="query=C15H10O6" tooltip="Find all compounds that have this formula" xr:uid="{00000000-0004-0000-0000-000008000000}"/>
    <hyperlink ref="B16" r:id="rId10" location="query=C29H48O" tooltip="Find all compounds that have this formula" xr:uid="{00000000-0004-0000-0000-000009000000}"/>
    <hyperlink ref="B17" r:id="rId11" location="query=C15H14O6" tooltip="Find all compounds that have this formula" xr:uid="{00000000-0004-0000-0000-00000A000000}"/>
    <hyperlink ref="B18" r:id="rId12" location="query=C18H34O2" tooltip="Find all compounds that have this formula" xr:uid="{00000000-0004-0000-0000-00000B000000}"/>
    <hyperlink ref="B33" r:id="rId13" location="query=C6H12O" tooltip="Find all compounds that have this formula" xr:uid="{00000000-0004-0000-0000-000098000000}"/>
    <hyperlink ref="B158" r:id="rId14" location="query=C9H18O2" tooltip="Find all compounds that have this formula" xr:uid="{00000000-0004-0000-0000-00009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4E3E-3913-4496-9EAC-3E626DA32DF7}">
  <dimension ref="A1:A4"/>
  <sheetViews>
    <sheetView workbookViewId="0">
      <selection activeCell="C2" sqref="C2"/>
    </sheetView>
  </sheetViews>
  <sheetFormatPr defaultRowHeight="14.15" x14ac:dyDescent="0.3"/>
  <sheetData>
    <row r="1" spans="1:1" x14ac:dyDescent="0.3">
      <c r="A1" s="9" t="s">
        <v>466</v>
      </c>
    </row>
    <row r="2" spans="1:1" x14ac:dyDescent="0.3">
      <c r="A2" s="9" t="s">
        <v>467</v>
      </c>
    </row>
    <row r="3" spans="1:1" x14ac:dyDescent="0.3">
      <c r="A3" s="9" t="s">
        <v>468</v>
      </c>
    </row>
    <row r="4" spans="1:1" x14ac:dyDescent="0.3">
      <c r="A4" s="9" t="s">
        <v>469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28198</dc:creator>
  <cp:lastModifiedBy>Tianbo Ma</cp:lastModifiedBy>
  <dcterms:created xsi:type="dcterms:W3CDTF">2025-01-13T08:27:00Z</dcterms:created>
  <dcterms:modified xsi:type="dcterms:W3CDTF">2025-05-21T13:37:01Z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1136142E5ED346289B6183643532963D_11</vt:lpwstr>
  </property>
  <property fmtid="{D5CDD505-2E9C-101B-9397-08002B2CF9AE}" pid="3" name="KSOProductBuildVer">
    <vt:lpwstr>2052-12.1.0.19770</vt:lpwstr>
  </property>
</Properties>
</file>